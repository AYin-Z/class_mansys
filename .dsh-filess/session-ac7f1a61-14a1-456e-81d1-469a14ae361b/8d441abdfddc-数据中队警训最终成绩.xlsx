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guanxue/Desktop/25数据/统计信息/总分计算/"/>
    </mc:Choice>
  </mc:AlternateContent>
  <xr:revisionPtr revIDLastSave="0" documentId="13_ncr:1_{F881458A-FEC4-DE46-80B7-52E7EF9B0AE4}" xr6:coauthVersionLast="47" xr6:coauthVersionMax="47" xr10:uidLastSave="{00000000-0000-0000-0000-000000000000}"/>
  <bookViews>
    <workbookView xWindow="1720" yWindow="500" windowWidth="27080" windowHeight="17500" activeTab="5" xr2:uid="{AE1EA57A-24CF-694B-B201-45E3F5E8A488}"/>
  </bookViews>
  <sheets>
    <sheet name="数据一区" sheetId="1" r:id="rId1"/>
    <sheet name="数据二区" sheetId="2" r:id="rId2"/>
    <sheet name="数据三区" sheetId="3" r:id="rId3"/>
    <sheet name="数据四区" sheetId="4" r:id="rId4"/>
    <sheet name="数据五区" sheetId="5" r:id="rId5"/>
    <sheet name="数据六区" sheetId="6" r:id="rId6"/>
    <sheet name="警乐团成绩" sheetId="7" r:id="rId7"/>
  </sheets>
  <externalReferences>
    <externalReference r:id="rId8"/>
  </externalReferenc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7" l="1"/>
  <c r="J5" i="7"/>
  <c r="M5" i="7" s="1"/>
  <c r="H5" i="7"/>
  <c r="R5" i="7" s="1"/>
  <c r="Q12" i="7"/>
  <c r="J12" i="7"/>
  <c r="M12" i="7" s="1"/>
  <c r="H12" i="7"/>
  <c r="Q11" i="7"/>
  <c r="M11" i="7"/>
  <c r="R11" i="7" s="1"/>
  <c r="J11" i="7"/>
  <c r="H11" i="7"/>
  <c r="Q10" i="7"/>
  <c r="J10" i="7"/>
  <c r="M10" i="7" s="1"/>
  <c r="H10" i="7"/>
  <c r="Q9" i="7"/>
  <c r="J9" i="7"/>
  <c r="M9" i="7" s="1"/>
  <c r="H9" i="7"/>
  <c r="R9" i="7" s="1"/>
  <c r="Q8" i="7"/>
  <c r="J8" i="7"/>
  <c r="M8" i="7" s="1"/>
  <c r="H8" i="7"/>
  <c r="Q7" i="7"/>
  <c r="J7" i="7"/>
  <c r="M7" i="7" s="1"/>
  <c r="H7" i="7"/>
  <c r="Q6" i="7"/>
  <c r="M6" i="7"/>
  <c r="J6" i="7"/>
  <c r="H6" i="7"/>
  <c r="G7" i="3"/>
  <c r="G4" i="3"/>
  <c r="G5" i="3"/>
  <c r="G6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3" i="3"/>
  <c r="D4" i="3"/>
  <c r="D5" i="3"/>
  <c r="D6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3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R6" i="7" l="1"/>
  <c r="R8" i="7"/>
  <c r="R7" i="7"/>
  <c r="R10" i="7"/>
  <c r="R12" i="7"/>
</calcChain>
</file>

<file path=xl/sharedStrings.xml><?xml version="1.0" encoding="utf-8"?>
<sst xmlns="http://schemas.openxmlformats.org/spreadsheetml/2006/main" count="834" uniqueCount="559">
  <si>
    <t>学号</t>
  </si>
  <si>
    <t>姓名</t>
  </si>
  <si>
    <t>理论考试成绩</t>
  </si>
  <si>
    <t>单兵队列成绩</t>
  </si>
  <si>
    <t>日常考核成绩</t>
  </si>
  <si>
    <t>出勤率</t>
  </si>
  <si>
    <t>总成绩</t>
  </si>
  <si>
    <t>区队内排名</t>
  </si>
  <si>
    <t>202521710001</t>
  </si>
  <si>
    <t>202521710002</t>
  </si>
  <si>
    <t>202521710003</t>
  </si>
  <si>
    <t>202521710004</t>
  </si>
  <si>
    <t>202521710005</t>
  </si>
  <si>
    <t>202521710006</t>
  </si>
  <si>
    <t>202521710007</t>
  </si>
  <si>
    <t>202521710008</t>
  </si>
  <si>
    <t>202521710009</t>
  </si>
  <si>
    <t>202521710010</t>
  </si>
  <si>
    <t>202521710011</t>
  </si>
  <si>
    <t>202521710012</t>
  </si>
  <si>
    <t>202521710013</t>
  </si>
  <si>
    <t>202521710014</t>
  </si>
  <si>
    <t>202521710015</t>
  </si>
  <si>
    <t>202521710016</t>
  </si>
  <si>
    <t>202521710017</t>
  </si>
  <si>
    <t>202521710018</t>
  </si>
  <si>
    <t>202521710019</t>
  </si>
  <si>
    <t>202521710020</t>
  </si>
  <si>
    <t>202521710021</t>
  </si>
  <si>
    <t>202521710022</t>
  </si>
  <si>
    <t>202521710023</t>
  </si>
  <si>
    <t>202521710024</t>
  </si>
  <si>
    <t>202521710025</t>
  </si>
  <si>
    <t>202521710026</t>
  </si>
  <si>
    <t>202521710027</t>
  </si>
  <si>
    <t>202521710028</t>
  </si>
  <si>
    <t>202521710029</t>
  </si>
  <si>
    <t>202521710030</t>
  </si>
  <si>
    <t>202521710031</t>
  </si>
  <si>
    <t>2025217110032</t>
  </si>
  <si>
    <t>202521710033</t>
  </si>
  <si>
    <t>202521710034</t>
  </si>
  <si>
    <t>202521710035</t>
  </si>
  <si>
    <t>202521710036</t>
  </si>
  <si>
    <t>202521710037</t>
  </si>
  <si>
    <t>202521710038</t>
  </si>
  <si>
    <t>数据一区警训最终成绩</t>
    <phoneticPr fontId="1" type="noConversion"/>
  </si>
  <si>
    <t>焦俊宁</t>
  </si>
  <si>
    <t>朱莲鑫</t>
  </si>
  <si>
    <t>王培丞</t>
  </si>
  <si>
    <t>胡洵梁</t>
  </si>
  <si>
    <t>孙硕</t>
  </si>
  <si>
    <t>王睿</t>
  </si>
  <si>
    <t>杨博宇</t>
  </si>
  <si>
    <t>张雨晨</t>
  </si>
  <si>
    <t>黄紫彤</t>
  </si>
  <si>
    <t>马亿生</t>
  </si>
  <si>
    <t>吴思语</t>
  </si>
  <si>
    <t>吴宇淞</t>
  </si>
  <si>
    <t>杨曦</t>
  </si>
  <si>
    <t>齐含钰</t>
  </si>
  <si>
    <t>朱康成</t>
  </si>
  <si>
    <t>常浩宇</t>
  </si>
  <si>
    <t>高逸宸</t>
  </si>
  <si>
    <t>徐艺恒</t>
  </si>
  <si>
    <t>刘凯强</t>
  </si>
  <si>
    <t>胡宇翔</t>
  </si>
  <si>
    <t>胡顺胜</t>
  </si>
  <si>
    <t>张启帆</t>
  </si>
  <si>
    <t>杨东瑄</t>
  </si>
  <si>
    <t>赵奕为</t>
  </si>
  <si>
    <t>寇奕凡</t>
  </si>
  <si>
    <t>张柯</t>
  </si>
  <si>
    <t>孙熠佳</t>
  </si>
  <si>
    <t>梁耀文</t>
  </si>
  <si>
    <t>胡植涵</t>
  </si>
  <si>
    <t>石唯达</t>
  </si>
  <si>
    <t>夏凯文</t>
  </si>
  <si>
    <t>周琪深</t>
  </si>
  <si>
    <t>刘鑫栋</t>
  </si>
  <si>
    <t>薛鹏宇</t>
  </si>
  <si>
    <t>吕岩松</t>
  </si>
  <si>
    <t>周炜皓</t>
  </si>
  <si>
    <t>陈苇航</t>
  </si>
  <si>
    <t>何志昊</t>
  </si>
  <si>
    <t>男</t>
  </si>
  <si>
    <t>女</t>
  </si>
  <si>
    <t>1</t>
    <phoneticPr fontId="1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</si>
  <si>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</si>
  <si>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</si>
  <si>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</si>
  <si>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</si>
  <si>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</si>
  <si>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</si>
  <si>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</si>
  <si>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</si>
  <si>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</si>
  <si>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</si>
  <si>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</si>
  <si>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</si>
  <si>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</si>
  <si>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</si>
  <si>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</si>
  <si>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</si>
  <si>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</si>
  <si>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</si>
  <si>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</si>
  <si>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</si>
  <si>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</si>
  <si>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</si>
  <si>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</si>
  <si>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</si>
  <si>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</si>
  <si>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</si>
  <si>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</si>
  <si>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</si>
  <si>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</si>
  <si>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</si>
  <si>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</si>
  <si>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</si>
  <si>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</si>
  <si>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</si>
  <si>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</si>
  <si>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</si>
  <si>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</si>
  <si>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202521720001</t>
  </si>
  <si>
    <t>何妙华</t>
  </si>
  <si>
    <t>202521720002</t>
  </si>
  <si>
    <t>周锴涛</t>
  </si>
  <si>
    <t>202521720003</t>
  </si>
  <si>
    <t>梁国宾</t>
  </si>
  <si>
    <t>202521720004</t>
  </si>
  <si>
    <t>薛兴睿</t>
  </si>
  <si>
    <t>202521720005</t>
  </si>
  <si>
    <t>瞿宏义</t>
  </si>
  <si>
    <t>202521720006</t>
  </si>
  <si>
    <t>冯键</t>
  </si>
  <si>
    <t>202521720007</t>
  </si>
  <si>
    <t>黄小栋</t>
  </si>
  <si>
    <t>202521720008</t>
    <phoneticPr fontId="6" type="noConversion"/>
  </si>
  <si>
    <t>吴雨轩</t>
  </si>
  <si>
    <t>202521720009</t>
  </si>
  <si>
    <t>杨家珲</t>
  </si>
  <si>
    <t>202521720010</t>
  </si>
  <si>
    <t>韩乔亦</t>
  </si>
  <si>
    <t>202521720011</t>
  </si>
  <si>
    <t>陈庞瀚</t>
  </si>
  <si>
    <t>202521720012</t>
  </si>
  <si>
    <t>李宗泽</t>
  </si>
  <si>
    <t>202521720013</t>
  </si>
  <si>
    <t>赵子钧</t>
  </si>
  <si>
    <t>202521720014</t>
  </si>
  <si>
    <t>宋子阳</t>
  </si>
  <si>
    <t>202521720015</t>
  </si>
  <si>
    <t>郝宇菲</t>
  </si>
  <si>
    <t>202521720016</t>
  </si>
  <si>
    <t>黄昊晨</t>
  </si>
  <si>
    <t>202521720017</t>
  </si>
  <si>
    <t>李传续</t>
  </si>
  <si>
    <t>202521720018</t>
  </si>
  <si>
    <t>杨博文</t>
  </si>
  <si>
    <t>202521720019</t>
  </si>
  <si>
    <t>朱香羽</t>
  </si>
  <si>
    <t>202521720020</t>
  </si>
  <si>
    <t>沈逸</t>
  </si>
  <si>
    <t>202521720021</t>
  </si>
  <si>
    <t>于福林</t>
  </si>
  <si>
    <t>202521720022</t>
  </si>
  <si>
    <t>袁硕</t>
  </si>
  <si>
    <t>202521720023</t>
  </si>
  <si>
    <t>单奕博</t>
  </si>
  <si>
    <t>202521720024</t>
  </si>
  <si>
    <t>陈科宇</t>
  </si>
  <si>
    <t>202521720025</t>
  </si>
  <si>
    <t>高夏雨</t>
  </si>
  <si>
    <t>202521720026</t>
  </si>
  <si>
    <t>张悦轩</t>
  </si>
  <si>
    <t>202521720027</t>
  </si>
  <si>
    <t>石家琦</t>
  </si>
  <si>
    <t>202521720028</t>
  </si>
  <si>
    <t>黄祖祥</t>
  </si>
  <si>
    <t>202521720029</t>
  </si>
  <si>
    <t>梁智涵</t>
  </si>
  <si>
    <t>202521720030</t>
  </si>
  <si>
    <t>王孙韬</t>
  </si>
  <si>
    <t>202521720031</t>
  </si>
  <si>
    <t>张亦超</t>
  </si>
  <si>
    <t>202521720032</t>
  </si>
  <si>
    <t>陈俊晔</t>
  </si>
  <si>
    <t>202521720033</t>
  </si>
  <si>
    <t>鲍优涵</t>
  </si>
  <si>
    <t>202521720034</t>
  </si>
  <si>
    <t>陈子文</t>
  </si>
  <si>
    <t>202521720035</t>
  </si>
  <si>
    <t>杜鑫磊</t>
  </si>
  <si>
    <t>202521720036</t>
  </si>
  <si>
    <t>方舜</t>
  </si>
  <si>
    <t>202521720037</t>
  </si>
  <si>
    <t>龚恩泽</t>
  </si>
  <si>
    <t>202521720038</t>
  </si>
  <si>
    <t>罗海峰</t>
  </si>
  <si>
    <t>数据二区警训最终成绩</t>
    <phoneticPr fontId="1" type="noConversion"/>
  </si>
  <si>
    <t>数据三区警训最终成绩</t>
    <phoneticPr fontId="1" type="noConversion"/>
  </si>
  <si>
    <t>潘延</t>
  </si>
  <si>
    <t>丁鸿韬</t>
  </si>
  <si>
    <t>王语婕</t>
  </si>
  <si>
    <t>张文凯</t>
  </si>
  <si>
    <t>李方舟</t>
  </si>
  <si>
    <t>张皓天</t>
  </si>
  <si>
    <t>薛俊辉</t>
  </si>
  <si>
    <t>花一坤</t>
  </si>
  <si>
    <t>李科翰</t>
  </si>
  <si>
    <t>王浩朴</t>
  </si>
  <si>
    <t>王川粤</t>
  </si>
  <si>
    <t>庾晓茹</t>
  </si>
  <si>
    <t>柳边哲</t>
  </si>
  <si>
    <t>贺艺辉</t>
  </si>
  <si>
    <t>浦天乐</t>
  </si>
  <si>
    <t>赵旭晖</t>
  </si>
  <si>
    <t>李顺琳</t>
  </si>
  <si>
    <t>朱耕江</t>
  </si>
  <si>
    <t>丁文涵</t>
  </si>
  <si>
    <t>林建州</t>
  </si>
  <si>
    <t>梅肖阳</t>
  </si>
  <si>
    <t>曹文博</t>
  </si>
  <si>
    <t>程鑫</t>
  </si>
  <si>
    <t>赵钧晨</t>
  </si>
  <si>
    <t>张凯德</t>
  </si>
  <si>
    <t>羊国扬</t>
  </si>
  <si>
    <t>罗才栋</t>
  </si>
  <si>
    <t>普华端智</t>
  </si>
  <si>
    <t>许全宇</t>
  </si>
  <si>
    <t>汪邦远</t>
  </si>
  <si>
    <t>李梓源</t>
  </si>
  <si>
    <t>安名扬</t>
  </si>
  <si>
    <t>张昀</t>
  </si>
  <si>
    <t>辛文裕</t>
  </si>
  <si>
    <t>陈光鉴</t>
  </si>
  <si>
    <t>陈伟泽</t>
  </si>
  <si>
    <t>曾令涛</t>
  </si>
  <si>
    <t>刘佳</t>
  </si>
  <si>
    <t>202521730001</t>
  </si>
  <si>
    <t>202521730002</t>
  </si>
  <si>
    <t>202521730003</t>
  </si>
  <si>
    <t>202521730004</t>
  </si>
  <si>
    <t>202521730005</t>
  </si>
  <si>
    <t>202521730006</t>
  </si>
  <si>
    <t>202521730007</t>
  </si>
  <si>
    <t>202521730008</t>
  </si>
  <si>
    <t>202521730009</t>
  </si>
  <si>
    <t>202521730010</t>
  </si>
  <si>
    <t>202521730011</t>
  </si>
  <si>
    <t>202521730012</t>
  </si>
  <si>
    <t>202521730013</t>
  </si>
  <si>
    <t>202521730014</t>
  </si>
  <si>
    <t>202521730015</t>
  </si>
  <si>
    <t>202521730016</t>
  </si>
  <si>
    <t>202521730017</t>
  </si>
  <si>
    <t>202521730018</t>
  </si>
  <si>
    <t>202521730019</t>
  </si>
  <si>
    <t>202521730020</t>
  </si>
  <si>
    <t>202521730021</t>
  </si>
  <si>
    <t>202521730022</t>
  </si>
  <si>
    <t>202521730023</t>
  </si>
  <si>
    <t>202521730024</t>
  </si>
  <si>
    <t>202521730025</t>
  </si>
  <si>
    <t>202521730026</t>
  </si>
  <si>
    <t>202521730027</t>
  </si>
  <si>
    <t>202521730028</t>
  </si>
  <si>
    <t>202521730029</t>
  </si>
  <si>
    <t>202521730030</t>
  </si>
  <si>
    <t>202521730031</t>
  </si>
  <si>
    <t>202521730032</t>
  </si>
  <si>
    <t>202521730033</t>
  </si>
  <si>
    <t>202521730034</t>
  </si>
  <si>
    <t>202521730035</t>
  </si>
  <si>
    <t>202521730036</t>
  </si>
  <si>
    <t>202521730037</t>
  </si>
  <si>
    <t>202521730038</t>
  </si>
  <si>
    <t>数据四区警训最终成绩</t>
    <phoneticPr fontId="1" type="noConversion"/>
  </si>
  <si>
    <t>谷子赫</t>
  </si>
  <si>
    <t>陶略同</t>
  </si>
  <si>
    <t>李金泽</t>
  </si>
  <si>
    <t>许晔</t>
  </si>
  <si>
    <t>赵雪琰</t>
  </si>
  <si>
    <t>周栩臣</t>
  </si>
  <si>
    <t>冯梓佟</t>
  </si>
  <si>
    <t>张唯扬</t>
  </si>
  <si>
    <t>邓宏章</t>
  </si>
  <si>
    <t>胡皓天</t>
  </si>
  <si>
    <t>傅明朗</t>
  </si>
  <si>
    <t>杨雪婷</t>
  </si>
  <si>
    <t>张胜昔</t>
  </si>
  <si>
    <t>赵康地</t>
  </si>
  <si>
    <t>龙泽轩</t>
  </si>
  <si>
    <t>张润枝</t>
  </si>
  <si>
    <t>魏益航</t>
  </si>
  <si>
    <t>王维丞</t>
  </si>
  <si>
    <t>张凯铭</t>
  </si>
  <si>
    <t>张鹏远</t>
  </si>
  <si>
    <t>闫泽</t>
  </si>
  <si>
    <t>马光瑞</t>
  </si>
  <si>
    <t>马俊杰</t>
  </si>
  <si>
    <t>李宇飞</t>
  </si>
  <si>
    <t>李震飞</t>
  </si>
  <si>
    <t>杨子翀</t>
  </si>
  <si>
    <t>张彬琪</t>
  </si>
  <si>
    <t>张才智</t>
  </si>
  <si>
    <t>张家昕</t>
  </si>
  <si>
    <t>夏启诚</t>
  </si>
  <si>
    <t>朱墨研</t>
  </si>
  <si>
    <t>李沐恺</t>
  </si>
  <si>
    <t>刘相溥</t>
  </si>
  <si>
    <t>罗鑫</t>
  </si>
  <si>
    <t>沙钰婷</t>
  </si>
  <si>
    <t>宗奕成</t>
  </si>
  <si>
    <t>汤宇恒</t>
  </si>
  <si>
    <t>章桐瑜</t>
  </si>
  <si>
    <t>202521740001</t>
  </si>
  <si>
    <t>202521740002</t>
  </si>
  <si>
    <t>202521740003</t>
  </si>
  <si>
    <t>202521740004</t>
  </si>
  <si>
    <t>202521740005</t>
  </si>
  <si>
    <t>202521740006</t>
  </si>
  <si>
    <t>202521740007</t>
  </si>
  <si>
    <t>202521740008</t>
  </si>
  <si>
    <t>202521740009</t>
  </si>
  <si>
    <t>202521740010</t>
  </si>
  <si>
    <t>202521740011</t>
  </si>
  <si>
    <t>202521740013</t>
  </si>
  <si>
    <t>202521740012</t>
  </si>
  <si>
    <t>202521740014</t>
  </si>
  <si>
    <t>202521740015</t>
  </si>
  <si>
    <t>202521740016</t>
  </si>
  <si>
    <t>202521740017</t>
  </si>
  <si>
    <t>202521740018</t>
  </si>
  <si>
    <t>202521740019</t>
  </si>
  <si>
    <t>202521740020</t>
  </si>
  <si>
    <t>202521740021</t>
  </si>
  <si>
    <t>202521740022</t>
  </si>
  <si>
    <t>202521740023</t>
  </si>
  <si>
    <t>202521740024</t>
  </si>
  <si>
    <t>202521740025</t>
  </si>
  <si>
    <t>202521740026</t>
  </si>
  <si>
    <t>202521740027</t>
  </si>
  <si>
    <t>202521740028</t>
  </si>
  <si>
    <t>202521740029</t>
  </si>
  <si>
    <t>202521740030</t>
  </si>
  <si>
    <t>202521740031</t>
  </si>
  <si>
    <t>202521740032</t>
  </si>
  <si>
    <t>202521740033</t>
  </si>
  <si>
    <t>202521740035</t>
  </si>
  <si>
    <t>202521740036</t>
  </si>
  <si>
    <t>202521740037</t>
  </si>
  <si>
    <t>202521740038</t>
  </si>
  <si>
    <t>202521740034</t>
    <phoneticPr fontId="1" type="noConversion"/>
  </si>
  <si>
    <t>数据五区警训最终成绩</t>
    <phoneticPr fontId="1" type="noConversion"/>
  </si>
  <si>
    <t>202521750001</t>
  </si>
  <si>
    <t>202521750002</t>
  </si>
  <si>
    <t>202521750003</t>
  </si>
  <si>
    <t>202521750004</t>
  </si>
  <si>
    <t>202521750005</t>
  </si>
  <si>
    <t>202521750006</t>
  </si>
  <si>
    <t>202521750007</t>
  </si>
  <si>
    <t>202521750008</t>
  </si>
  <si>
    <t>202521750009</t>
  </si>
  <si>
    <t>202521750010</t>
  </si>
  <si>
    <t>202521750011</t>
  </si>
  <si>
    <t>202521750012</t>
  </si>
  <si>
    <t>202521750013</t>
  </si>
  <si>
    <t>202521750014</t>
  </si>
  <si>
    <t>202521750015</t>
  </si>
  <si>
    <t>202521750016</t>
  </si>
  <si>
    <t>202521750017</t>
  </si>
  <si>
    <t>202521750018</t>
  </si>
  <si>
    <t>202521750019</t>
  </si>
  <si>
    <t>202521750020</t>
  </si>
  <si>
    <t>202521750021</t>
  </si>
  <si>
    <t>202521750022</t>
  </si>
  <si>
    <t>202521750023</t>
  </si>
  <si>
    <t>202521750024</t>
  </si>
  <si>
    <t>202521750025</t>
  </si>
  <si>
    <t>202521750026</t>
  </si>
  <si>
    <t>202521750027</t>
  </si>
  <si>
    <t>202521750028</t>
  </si>
  <si>
    <t>202521750029</t>
  </si>
  <si>
    <t>202521750030</t>
  </si>
  <si>
    <t>202521750031</t>
  </si>
  <si>
    <t>202521750032</t>
  </si>
  <si>
    <t>202521750033</t>
  </si>
  <si>
    <t>202521750034</t>
  </si>
  <si>
    <t>202521750035</t>
  </si>
  <si>
    <t>202521750036</t>
  </si>
  <si>
    <t>202521750037</t>
  </si>
  <si>
    <t>202521750038</t>
  </si>
  <si>
    <t>吴尚泽</t>
  </si>
  <si>
    <t>胡锦博</t>
  </si>
  <si>
    <t>王锦江</t>
  </si>
  <si>
    <t>王小洲</t>
  </si>
  <si>
    <t>符思彤</t>
  </si>
  <si>
    <t>张宝森</t>
  </si>
  <si>
    <t>陈昭茗</t>
  </si>
  <si>
    <t>李俊豪</t>
  </si>
  <si>
    <t>张瑞</t>
  </si>
  <si>
    <t>张松睿</t>
  </si>
  <si>
    <t>梁哲铭</t>
  </si>
  <si>
    <t>李远卓</t>
  </si>
  <si>
    <t>赵竞澄</t>
  </si>
  <si>
    <t>胡锦吉</t>
  </si>
  <si>
    <t>蒋明烨</t>
  </si>
  <si>
    <t>于莹熙</t>
  </si>
  <si>
    <t>董梓昕</t>
  </si>
  <si>
    <t>李阳一帆</t>
  </si>
  <si>
    <t>刘铭一</t>
  </si>
  <si>
    <t>顾芮宁</t>
  </si>
  <si>
    <t>刘凯</t>
  </si>
  <si>
    <t>战昱丞</t>
  </si>
  <si>
    <t>李民泰</t>
  </si>
  <si>
    <t>马鑫宇</t>
  </si>
  <si>
    <t>宗科宇</t>
  </si>
  <si>
    <t>白天宇</t>
  </si>
  <si>
    <t>曹诗媛</t>
  </si>
  <si>
    <t>胡学臻</t>
  </si>
  <si>
    <t>健坤尔朗</t>
  </si>
  <si>
    <t>刘育林</t>
  </si>
  <si>
    <t>王天昊</t>
  </si>
  <si>
    <t>杨帆</t>
  </si>
  <si>
    <t>陈泓宇</t>
  </si>
  <si>
    <t>达瓦曲珍</t>
  </si>
  <si>
    <t>马昊成</t>
  </si>
  <si>
    <t>周柏翰</t>
  </si>
  <si>
    <t>廖俣暄</t>
  </si>
  <si>
    <t>叶乐帆</t>
  </si>
  <si>
    <t>数据六区警训最终成绩</t>
    <phoneticPr fontId="1" type="noConversion"/>
  </si>
  <si>
    <t>202521760001</t>
  </si>
  <si>
    <t>202521760002</t>
  </si>
  <si>
    <t>202521760003</t>
  </si>
  <si>
    <t>202521760004</t>
  </si>
  <si>
    <t>202521760005</t>
  </si>
  <si>
    <t>202521760006</t>
  </si>
  <si>
    <t>202521760007</t>
  </si>
  <si>
    <t>202521760008</t>
  </si>
  <si>
    <t>202521760009</t>
  </si>
  <si>
    <t>202521760010</t>
  </si>
  <si>
    <t>202521760011</t>
  </si>
  <si>
    <t>202521760012</t>
  </si>
  <si>
    <t>202521760013</t>
  </si>
  <si>
    <t>202521760014</t>
  </si>
  <si>
    <t>202521760015</t>
  </si>
  <si>
    <t>202521760016</t>
  </si>
  <si>
    <t>202521760017</t>
  </si>
  <si>
    <t>202521760018</t>
  </si>
  <si>
    <t>202521760019</t>
  </si>
  <si>
    <t>202521760020</t>
  </si>
  <si>
    <t>202521760021</t>
  </si>
  <si>
    <t>202521760022</t>
  </si>
  <si>
    <t>202521760023</t>
  </si>
  <si>
    <t>202521760024</t>
  </si>
  <si>
    <t>202521760025</t>
  </si>
  <si>
    <t>202521760026</t>
  </si>
  <si>
    <t>202521760027</t>
  </si>
  <si>
    <t>202521760028</t>
  </si>
  <si>
    <t>202521760029</t>
  </si>
  <si>
    <t>202521760030</t>
  </si>
  <si>
    <t>202521760031</t>
  </si>
  <si>
    <t>202521760032</t>
  </si>
  <si>
    <t>202521760033</t>
  </si>
  <si>
    <t>202521760034</t>
  </si>
  <si>
    <t>202521760035</t>
  </si>
  <si>
    <t>202521760036</t>
  </si>
  <si>
    <t>202521760037</t>
  </si>
  <si>
    <t>202521760038</t>
  </si>
  <si>
    <t>李旭</t>
  </si>
  <si>
    <t>孙铭阳</t>
  </si>
  <si>
    <t>王博睿</t>
  </si>
  <si>
    <t>王崇睿</t>
  </si>
  <si>
    <t>张铭</t>
  </si>
  <si>
    <t>顾馨月</t>
  </si>
  <si>
    <t>刘万宇</t>
  </si>
  <si>
    <t>倪文</t>
  </si>
  <si>
    <t>杨峻博</t>
  </si>
  <si>
    <t>余钊华</t>
  </si>
  <si>
    <t>张栋翔</t>
  </si>
  <si>
    <t>周宇铧</t>
  </si>
  <si>
    <t>陈泳杭</t>
  </si>
  <si>
    <t>刘阳阳</t>
  </si>
  <si>
    <t>王东昊</t>
  </si>
  <si>
    <t>黄金铄</t>
  </si>
  <si>
    <t>罗家琪</t>
  </si>
  <si>
    <t>曹依铭</t>
  </si>
  <si>
    <t>徐一鸣</t>
  </si>
  <si>
    <t>费铭宇</t>
  </si>
  <si>
    <t>姜天</t>
  </si>
  <si>
    <t>周恩典</t>
  </si>
  <si>
    <t>白昊阳</t>
  </si>
  <si>
    <t>王译婕</t>
  </si>
  <si>
    <t>闫圣非</t>
  </si>
  <si>
    <t>王梓骁</t>
  </si>
  <si>
    <t>李昊晨</t>
  </si>
  <si>
    <t>王梓皓</t>
  </si>
  <si>
    <t>张涵</t>
  </si>
  <si>
    <t>张睿盈</t>
  </si>
  <si>
    <t>李锦川</t>
  </si>
  <si>
    <t>戴子淏</t>
  </si>
  <si>
    <t>徐鑫鹏</t>
  </si>
  <si>
    <t>殷政</t>
  </si>
  <si>
    <t>张驭捷</t>
  </si>
  <si>
    <t>刘相东</t>
  </si>
  <si>
    <t>周之亨</t>
  </si>
  <si>
    <t>阳雨函</t>
  </si>
  <si>
    <t>90</t>
  </si>
  <si>
    <t>68.5</t>
  </si>
  <si>
    <t>72</t>
  </si>
  <si>
    <t>86</t>
  </si>
  <si>
    <t>78</t>
  </si>
  <si>
    <t>74</t>
  </si>
  <si>
    <t>68</t>
  </si>
  <si>
    <t>84</t>
  </si>
  <si>
    <t>83</t>
  </si>
  <si>
    <t>89</t>
  </si>
  <si>
    <t>76</t>
  </si>
  <si>
    <t>71.5</t>
  </si>
  <si>
    <t>76.5</t>
  </si>
  <si>
    <t>79</t>
  </si>
  <si>
    <t>77</t>
  </si>
  <si>
    <t>87</t>
  </si>
  <si>
    <t>71</t>
  </si>
  <si>
    <t>93</t>
  </si>
  <si>
    <t>92</t>
  </si>
  <si>
    <t>54.5</t>
  </si>
  <si>
    <t>73</t>
  </si>
  <si>
    <t>88</t>
  </si>
  <si>
    <t>85.5</t>
  </si>
  <si>
    <t>数据警务技术一区</t>
  </si>
  <si>
    <t>数据警务技术四区</t>
  </si>
  <si>
    <t>数据警务技术五区</t>
  </si>
  <si>
    <t>序号</t>
  </si>
  <si>
    <t>姓名(必填）</t>
  </si>
  <si>
    <t>性别（必填）</t>
  </si>
  <si>
    <t>专业区队</t>
  </si>
  <si>
    <t>基础分</t>
  </si>
  <si>
    <t>理论考核</t>
  </si>
  <si>
    <t>理论考核小计</t>
  </si>
  <si>
    <t>日常考核</t>
  </si>
  <si>
    <t>日常考核小计</t>
  </si>
  <si>
    <t>集中考核</t>
  </si>
  <si>
    <t>集中考核小计</t>
  </si>
  <si>
    <t>建议</t>
  </si>
  <si>
    <t>示例</t>
  </si>
  <si>
    <t>张三</t>
  </si>
  <si>
    <t>占警训总成绩的20%</t>
  </si>
  <si>
    <t>缺勤时长</t>
  </si>
  <si>
    <t>出勤率=（总训练时长-缺勤时长）/总训练时长</t>
  </si>
  <si>
    <t>区队考核成绩</t>
  </si>
  <si>
    <t>警乐团考核成绩</t>
  </si>
  <si>
    <t>警训团个人单兵</t>
  </si>
  <si>
    <t>警乐团个人单兵</t>
  </si>
  <si>
    <t>最终汇演方案</t>
  </si>
  <si>
    <t>警训团个人单兵占比25%+警乐团个人单兵25%+最终汇演50%总和*30%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</si>
</sst>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8"/>
      <color theme="1"/>
      <name val="方正小标宋简体"/>
      <charset val="134"/>
    </font>
    <font>
      <sz val="14"/>
      <color rgb="FF000000"/>
      <name val="等线"/>
      <family val="4"/>
      <charset val="134"/>
    </font>
    <font>
      <sz val="14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9"/>
      <name val="等线"/>
      <family val="4"/>
      <charset val="134"/>
    </font>
    <font>
      <sz val="12"/>
      <color rgb="FF000000"/>
      <name val="宋体"/>
      <family val="3"/>
      <charset val="134"/>
    </font>
    <font>
      <sz val="12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FF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49" fontId="4" fillId="0" borderId="4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176" fontId="5" fillId="2" borderId="2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/>
    </xf>
    <xf numFmtId="177" fontId="0" fillId="0" borderId="1" xfId="0" quotePrefix="1" applyNumberFormat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177" fontId="8" fillId="3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quotePrefix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 wrapText="1"/>
    </xf>
    <xf numFmtId="0" fontId="5" fillId="2" borderId="1" xfId="0" applyFont="1" applyFill="1" applyBorder="1">
      <alignment vertical="center"/>
    </xf>
    <xf numFmtId="0" fontId="5" fillId="2" borderId="0" xfId="0" applyFont="1" applyFill="1">
      <alignment vertical="center"/>
    </xf>
    <xf numFmtId="0" fontId="5" fillId="0" borderId="1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5" fillId="0" borderId="19" xfId="0" applyFont="1" applyBorder="1">
      <alignment vertical="center"/>
    </xf>
    <xf numFmtId="0" fontId="5" fillId="0" borderId="2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7" fontId="0" fillId="0" borderId="1" xfId="0" applyNumberForma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wangguanxue/Desktop/25&#25968;&#25454;/&#32479;&#35745;&#20449;&#24687;/&#24635;&#20998;&#35745;&#31639;/&#21306;&#38431;&#25104;&#32489;/&#25968;&#19977;&#35686;&#35757;&#25104;&#32489;.xlsx" TargetMode="External"/><Relationship Id="rId1" Type="http://schemas.openxmlformats.org/officeDocument/2006/relationships/externalLinkPath" Target="&#21306;&#38431;&#25104;&#32489;/&#25968;&#19977;&#35686;&#35757;&#25104;&#324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>
        <row r="5">
          <cell r="A5" t="str">
            <v>潘延</v>
          </cell>
          <cell r="B5">
            <v>93</v>
          </cell>
          <cell r="C5">
            <v>83.6666666666667</v>
          </cell>
          <cell r="D5">
            <v>70</v>
          </cell>
          <cell r="E5">
            <v>1</v>
          </cell>
          <cell r="F5">
            <v>85.6</v>
          </cell>
        </row>
        <row r="6">
          <cell r="A6" t="str">
            <v>丁鸿韬</v>
          </cell>
          <cell r="B6">
            <v>90.5</v>
          </cell>
          <cell r="C6">
            <v>85.3333333333333</v>
          </cell>
          <cell r="D6">
            <v>64</v>
          </cell>
          <cell r="E6">
            <v>1</v>
          </cell>
          <cell r="F6">
            <v>83.65</v>
          </cell>
        </row>
        <row r="7">
          <cell r="A7" t="str">
            <v>王语婕</v>
          </cell>
          <cell r="B7">
            <v>91</v>
          </cell>
          <cell r="C7">
            <v>79.6666666666667</v>
          </cell>
          <cell r="D7">
            <v>70</v>
          </cell>
          <cell r="E7">
            <v>1</v>
          </cell>
          <cell r="F7">
            <v>83.4</v>
          </cell>
        </row>
        <row r="8">
          <cell r="A8" t="str">
            <v>张文凯</v>
          </cell>
          <cell r="B8">
            <v>86.5</v>
          </cell>
          <cell r="C8">
            <v>88</v>
          </cell>
          <cell r="D8">
            <v>74</v>
          </cell>
          <cell r="E8">
            <v>0.97</v>
          </cell>
          <cell r="F8">
            <v>83.152500000000003</v>
          </cell>
        </row>
        <row r="9">
          <cell r="A9" t="str">
            <v>李方舟</v>
          </cell>
          <cell r="B9">
            <v>91</v>
          </cell>
          <cell r="C9">
            <v>79</v>
          </cell>
          <cell r="D9">
            <v>69</v>
          </cell>
          <cell r="E9">
            <v>1</v>
          </cell>
          <cell r="F9">
            <v>83</v>
          </cell>
        </row>
        <row r="10">
          <cell r="A10" t="str">
            <v>张皓天</v>
          </cell>
          <cell r="B10">
            <v>88.5</v>
          </cell>
          <cell r="C10">
            <v>81</v>
          </cell>
          <cell r="D10">
            <v>70</v>
          </cell>
          <cell r="E10">
            <v>1</v>
          </cell>
          <cell r="F10">
            <v>82.55</v>
          </cell>
        </row>
        <row r="11">
          <cell r="A11" t="str">
            <v>薛俊辉</v>
          </cell>
          <cell r="B11">
            <v>91</v>
          </cell>
          <cell r="C11">
            <v>79</v>
          </cell>
          <cell r="D11">
            <v>66</v>
          </cell>
          <cell r="E11">
            <v>1</v>
          </cell>
          <cell r="F11">
            <v>82.4</v>
          </cell>
        </row>
        <row r="12">
          <cell r="A12" t="str">
            <v>花一坤</v>
          </cell>
          <cell r="B12">
            <v>89</v>
          </cell>
          <cell r="C12">
            <v>85.3333333333333</v>
          </cell>
          <cell r="D12">
            <v>70</v>
          </cell>
          <cell r="E12">
            <v>0.94</v>
          </cell>
          <cell r="F12">
            <v>81.430000000000007</v>
          </cell>
        </row>
        <row r="13">
          <cell r="A13" t="str">
            <v>李科翰</v>
          </cell>
          <cell r="B13">
            <v>89</v>
          </cell>
          <cell r="C13">
            <v>77.6666666666667</v>
          </cell>
          <cell r="D13">
            <v>65</v>
          </cell>
          <cell r="E13">
            <v>1</v>
          </cell>
          <cell r="F13">
            <v>80.8</v>
          </cell>
        </row>
        <row r="14">
          <cell r="A14" t="str">
            <v>王浩朴</v>
          </cell>
          <cell r="B14">
            <v>85</v>
          </cell>
          <cell r="C14">
            <v>82.3333333333333</v>
          </cell>
          <cell r="D14">
            <v>70</v>
          </cell>
          <cell r="E14">
            <v>0.99</v>
          </cell>
          <cell r="F14">
            <v>80.775000000000006</v>
          </cell>
        </row>
        <row r="15">
          <cell r="A15" t="str">
            <v>王川粤</v>
          </cell>
          <cell r="B15">
            <v>87</v>
          </cell>
          <cell r="C15">
            <v>80.3333333333333</v>
          </cell>
          <cell r="D15">
            <v>64</v>
          </cell>
          <cell r="E15">
            <v>1</v>
          </cell>
          <cell r="F15">
            <v>80.400000000000006</v>
          </cell>
        </row>
        <row r="16">
          <cell r="A16" t="str">
            <v>庾晓茹</v>
          </cell>
          <cell r="B16">
            <v>79</v>
          </cell>
          <cell r="C16">
            <v>82.3333333333333</v>
          </cell>
          <cell r="D16">
            <v>77</v>
          </cell>
          <cell r="E16">
            <v>1</v>
          </cell>
          <cell r="F16">
            <v>79.599999999999994</v>
          </cell>
        </row>
        <row r="17">
          <cell r="A17" t="str">
            <v>柳边哲</v>
          </cell>
          <cell r="B17">
            <v>86</v>
          </cell>
          <cell r="C17">
            <v>77.3333333333333</v>
          </cell>
          <cell r="D17">
            <v>63</v>
          </cell>
          <cell r="E17">
            <v>1</v>
          </cell>
          <cell r="F17">
            <v>78.8</v>
          </cell>
        </row>
        <row r="18">
          <cell r="A18" t="str">
            <v>贺艺辉</v>
          </cell>
          <cell r="B18">
            <v>80</v>
          </cell>
          <cell r="C18">
            <v>80.3333333333333</v>
          </cell>
          <cell r="D18">
            <v>72</v>
          </cell>
          <cell r="E18">
            <v>1</v>
          </cell>
          <cell r="F18">
            <v>78.5</v>
          </cell>
        </row>
        <row r="19">
          <cell r="A19" t="str">
            <v>浦天乐</v>
          </cell>
          <cell r="B19">
            <v>78</v>
          </cell>
          <cell r="C19">
            <v>80.3333333333333</v>
          </cell>
          <cell r="D19">
            <v>74</v>
          </cell>
          <cell r="E19">
            <v>1</v>
          </cell>
          <cell r="F19">
            <v>77.900000000000006</v>
          </cell>
        </row>
        <row r="20">
          <cell r="A20" t="str">
            <v>赵旭晖</v>
          </cell>
          <cell r="B20">
            <v>78.5</v>
          </cell>
          <cell r="C20">
            <v>80.6666666666667</v>
          </cell>
          <cell r="D20">
            <v>72</v>
          </cell>
          <cell r="E20">
            <v>1</v>
          </cell>
          <cell r="F20">
            <v>77.849999999999994</v>
          </cell>
        </row>
        <row r="21">
          <cell r="A21" t="str">
            <v>李顺琳</v>
          </cell>
          <cell r="B21">
            <v>80</v>
          </cell>
          <cell r="C21">
            <v>79</v>
          </cell>
          <cell r="D21">
            <v>70</v>
          </cell>
          <cell r="E21">
            <v>1</v>
          </cell>
          <cell r="F21">
            <v>77.7</v>
          </cell>
        </row>
        <row r="22">
          <cell r="A22" t="str">
            <v>朱耕江</v>
          </cell>
          <cell r="B22">
            <v>79</v>
          </cell>
          <cell r="C22">
            <v>78</v>
          </cell>
          <cell r="D22">
            <v>74</v>
          </cell>
          <cell r="E22">
            <v>1</v>
          </cell>
          <cell r="F22">
            <v>77.7</v>
          </cell>
        </row>
        <row r="23">
          <cell r="A23" t="str">
            <v>丁文涵</v>
          </cell>
          <cell r="B23">
            <v>78.5</v>
          </cell>
          <cell r="C23">
            <v>76.6666666666667</v>
          </cell>
          <cell r="D23">
            <v>70</v>
          </cell>
          <cell r="E23">
            <v>1</v>
          </cell>
          <cell r="F23">
            <v>76.25</v>
          </cell>
        </row>
        <row r="24">
          <cell r="A24" t="str">
            <v>林建州</v>
          </cell>
          <cell r="B24">
            <v>78.5</v>
          </cell>
          <cell r="C24">
            <v>83</v>
          </cell>
          <cell r="D24">
            <v>60</v>
          </cell>
          <cell r="E24">
            <v>1</v>
          </cell>
          <cell r="F24">
            <v>76.150000000000006</v>
          </cell>
        </row>
        <row r="25">
          <cell r="A25" t="str">
            <v>梅肖阳</v>
          </cell>
          <cell r="B25">
            <v>78</v>
          </cell>
          <cell r="C25">
            <v>78.6666666666667</v>
          </cell>
          <cell r="D25">
            <v>67</v>
          </cell>
          <cell r="E25">
            <v>1</v>
          </cell>
          <cell r="F25">
            <v>76</v>
          </cell>
        </row>
        <row r="26">
          <cell r="A26" t="str">
            <v>曹文博</v>
          </cell>
          <cell r="B26">
            <v>78.5</v>
          </cell>
          <cell r="C26">
            <v>81</v>
          </cell>
          <cell r="D26">
            <v>60</v>
          </cell>
          <cell r="E26">
            <v>1</v>
          </cell>
          <cell r="F26">
            <v>75.55</v>
          </cell>
        </row>
        <row r="27">
          <cell r="A27" t="str">
            <v>程鑫</v>
          </cell>
          <cell r="B27">
            <v>78.5</v>
          </cell>
          <cell r="C27">
            <v>75.3333333333333</v>
          </cell>
          <cell r="D27">
            <v>68</v>
          </cell>
          <cell r="E27">
            <v>1</v>
          </cell>
          <cell r="F27">
            <v>75.45</v>
          </cell>
        </row>
        <row r="28">
          <cell r="A28" t="str">
            <v>赵钧晨</v>
          </cell>
          <cell r="B28">
            <v>77</v>
          </cell>
          <cell r="C28">
            <v>79</v>
          </cell>
          <cell r="D28">
            <v>66</v>
          </cell>
          <cell r="E28">
            <v>1</v>
          </cell>
          <cell r="F28">
            <v>75.400000000000006</v>
          </cell>
        </row>
        <row r="29">
          <cell r="A29" t="str">
            <v>张凯德</v>
          </cell>
          <cell r="B29">
            <v>75.5</v>
          </cell>
          <cell r="C29">
            <v>76.3333333333333</v>
          </cell>
          <cell r="D29">
            <v>73</v>
          </cell>
          <cell r="E29">
            <v>1</v>
          </cell>
          <cell r="F29">
            <v>75.25</v>
          </cell>
        </row>
        <row r="30">
          <cell r="A30" t="str">
            <v>羊国扬</v>
          </cell>
          <cell r="B30">
            <v>76.5</v>
          </cell>
          <cell r="C30">
            <v>81</v>
          </cell>
          <cell r="D30">
            <v>66</v>
          </cell>
          <cell r="E30">
            <v>0.98</v>
          </cell>
          <cell r="F30">
            <v>74.984999999999999</v>
          </cell>
        </row>
        <row r="31">
          <cell r="A31" t="str">
            <v>罗才栋</v>
          </cell>
          <cell r="B31">
            <v>75.5</v>
          </cell>
          <cell r="C31">
            <v>77</v>
          </cell>
          <cell r="D31">
            <v>68</v>
          </cell>
          <cell r="E31">
            <v>1</v>
          </cell>
          <cell r="F31">
            <v>74.45</v>
          </cell>
        </row>
        <row r="32">
          <cell r="A32" t="str">
            <v>普华端智</v>
          </cell>
          <cell r="B32">
            <v>77.5</v>
          </cell>
          <cell r="C32">
            <v>74.6666666666667</v>
          </cell>
          <cell r="D32">
            <v>66</v>
          </cell>
          <cell r="E32">
            <v>1</v>
          </cell>
          <cell r="F32">
            <v>74.349999999999994</v>
          </cell>
        </row>
        <row r="33">
          <cell r="A33" t="str">
            <v>许全宇</v>
          </cell>
          <cell r="B33">
            <v>76</v>
          </cell>
          <cell r="C33">
            <v>76.3333333333333</v>
          </cell>
          <cell r="D33">
            <v>64</v>
          </cell>
          <cell r="E33">
            <v>1</v>
          </cell>
          <cell r="F33">
            <v>73.7</v>
          </cell>
        </row>
        <row r="34">
          <cell r="A34" t="str">
            <v>汪邦远</v>
          </cell>
          <cell r="B34">
            <v>75.5</v>
          </cell>
          <cell r="C34">
            <v>75</v>
          </cell>
          <cell r="D34">
            <v>71</v>
          </cell>
          <cell r="E34">
            <v>0.97</v>
          </cell>
          <cell r="F34">
            <v>73.317499999999995</v>
          </cell>
        </row>
        <row r="35">
          <cell r="A35" t="str">
            <v>李梓源</v>
          </cell>
          <cell r="B35">
            <v>75.5</v>
          </cell>
          <cell r="C35">
            <v>74.3333333333333</v>
          </cell>
          <cell r="D35">
            <v>65</v>
          </cell>
          <cell r="E35">
            <v>1</v>
          </cell>
          <cell r="F35">
            <v>73.05</v>
          </cell>
        </row>
        <row r="36">
          <cell r="A36" t="str">
            <v>安名扬</v>
          </cell>
          <cell r="B36">
            <v>72</v>
          </cell>
          <cell r="C36">
            <v>78</v>
          </cell>
          <cell r="D36">
            <v>71</v>
          </cell>
          <cell r="E36">
            <v>0.98</v>
          </cell>
          <cell r="F36">
            <v>72.88</v>
          </cell>
        </row>
        <row r="37">
          <cell r="A37" t="str">
            <v>张昀</v>
          </cell>
          <cell r="B37">
            <v>78.5</v>
          </cell>
          <cell r="C37">
            <v>74</v>
          </cell>
          <cell r="D37">
            <v>68</v>
          </cell>
          <cell r="E37">
            <v>0.94</v>
          </cell>
          <cell r="F37">
            <v>72.694999999999993</v>
          </cell>
        </row>
        <row r="38">
          <cell r="A38" t="str">
            <v>辛文裕</v>
          </cell>
          <cell r="B38">
            <v>78.5</v>
          </cell>
          <cell r="C38">
            <v>76.3333333333333</v>
          </cell>
          <cell r="D38">
            <v>50</v>
          </cell>
          <cell r="E38">
            <v>1</v>
          </cell>
          <cell r="F38">
            <v>72.150000000000006</v>
          </cell>
        </row>
        <row r="39">
          <cell r="A39" t="str">
            <v>陈光鉴</v>
          </cell>
          <cell r="B39">
            <v>77</v>
          </cell>
          <cell r="C39">
            <v>73</v>
          </cell>
          <cell r="D39">
            <v>64</v>
          </cell>
          <cell r="E39">
            <v>0.97</v>
          </cell>
          <cell r="F39">
            <v>72.045000000000002</v>
          </cell>
        </row>
        <row r="40">
          <cell r="A40" t="str">
            <v>陈伟泽</v>
          </cell>
          <cell r="B40">
            <v>76</v>
          </cell>
          <cell r="C40">
            <v>74.6666666666667</v>
          </cell>
          <cell r="D40">
            <v>53</v>
          </cell>
          <cell r="E40">
            <v>1</v>
          </cell>
          <cell r="F40">
            <v>71</v>
          </cell>
        </row>
        <row r="41">
          <cell r="A41" t="str">
            <v>曾令涛</v>
          </cell>
          <cell r="B41">
            <v>74</v>
          </cell>
          <cell r="C41">
            <v>74.3333333333333</v>
          </cell>
          <cell r="D41">
            <v>55</v>
          </cell>
          <cell r="E41">
            <v>1</v>
          </cell>
          <cell r="F41">
            <v>70.3</v>
          </cell>
        </row>
        <row r="42">
          <cell r="A42" t="str">
            <v>刘佳</v>
          </cell>
          <cell r="B42">
            <v>79</v>
          </cell>
          <cell r="C42">
            <v>0</v>
          </cell>
          <cell r="D42">
            <v>66</v>
          </cell>
          <cell r="E42">
            <v>0.8</v>
          </cell>
          <cell r="F42">
            <v>44.8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00413-CF6A-2947-955E-8BB6E44AC4A6}">
  <dimension ref="A1:H40"/>
  <sheetViews>
    <sheetView topLeftCell="A2" zoomScale="75" workbookViewId="0">
      <selection activeCell="G10" sqref="G10"/>
    </sheetView>
  </sheetViews>
  <sheetFormatPr baseColWidth="10" defaultRowHeight="16"/>
  <cols>
    <col min="1" max="8" width="20.83203125" customWidth="1"/>
  </cols>
  <sheetData>
    <row r="1" spans="1:8" ht="24" customHeight="1">
      <c r="A1" s="49" t="s">
        <v>46</v>
      </c>
      <c r="B1" s="50"/>
      <c r="C1" s="50"/>
      <c r="D1" s="50"/>
      <c r="E1" s="50"/>
      <c r="F1" s="50"/>
      <c r="G1" s="50"/>
      <c r="H1" s="51"/>
    </row>
    <row r="2" spans="1:8" ht="24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2" t="s">
        <v>6</v>
      </c>
      <c r="H2" s="8" t="s">
        <v>7</v>
      </c>
    </row>
    <row r="3" spans="1:8" ht="19">
      <c r="A3" s="9" t="s">
        <v>8</v>
      </c>
      <c r="B3" s="10" t="s">
        <v>47</v>
      </c>
      <c r="C3" s="17">
        <v>80.622577482985506</v>
      </c>
      <c r="D3" s="17">
        <v>79.6666666666667</v>
      </c>
      <c r="E3" s="17">
        <v>80</v>
      </c>
      <c r="F3" s="17">
        <v>1</v>
      </c>
      <c r="G3" s="17">
        <v>80.024515496597104</v>
      </c>
      <c r="H3" s="18" t="s">
        <v>106</v>
      </c>
    </row>
    <row r="4" spans="1:8" ht="19">
      <c r="A4" s="9" t="s">
        <v>9</v>
      </c>
      <c r="B4" s="10" t="s">
        <v>48</v>
      </c>
      <c r="C4" s="17">
        <v>85.440037453175293</v>
      </c>
      <c r="D4" s="17">
        <v>82.3333333333333</v>
      </c>
      <c r="E4" s="17">
        <v>89</v>
      </c>
      <c r="F4" s="17">
        <v>1</v>
      </c>
      <c r="G4" s="17">
        <v>86.288007490635096</v>
      </c>
      <c r="H4" s="18" t="s">
        <v>89</v>
      </c>
    </row>
    <row r="5" spans="1:8" ht="19">
      <c r="A5" s="9" t="s">
        <v>10</v>
      </c>
      <c r="B5" s="10" t="s">
        <v>49</v>
      </c>
      <c r="C5" s="17">
        <v>83.666002653407602</v>
      </c>
      <c r="D5" s="17">
        <v>76.3333333333333</v>
      </c>
      <c r="E5" s="17">
        <v>77</v>
      </c>
      <c r="F5" s="17">
        <v>1</v>
      </c>
      <c r="G5" s="17">
        <v>78.133200530681506</v>
      </c>
      <c r="H5" s="18" t="s">
        <v>109</v>
      </c>
    </row>
    <row r="6" spans="1:8" ht="19">
      <c r="A6" s="9" t="s">
        <v>11</v>
      </c>
      <c r="B6" s="10" t="s">
        <v>50</v>
      </c>
      <c r="C6" s="17">
        <v>86.602540378443905</v>
      </c>
      <c r="D6" s="17">
        <v>74.6666666666667</v>
      </c>
      <c r="E6" s="17">
        <v>89.5</v>
      </c>
      <c r="F6" s="17">
        <v>1</v>
      </c>
      <c r="G6" s="17">
        <v>84.470508075688798</v>
      </c>
      <c r="H6" s="18" t="s">
        <v>92</v>
      </c>
    </row>
    <row r="7" spans="1:8" ht="19">
      <c r="A7" s="9" t="s">
        <v>12</v>
      </c>
      <c r="B7" s="10" t="s">
        <v>51</v>
      </c>
      <c r="C7" s="17">
        <v>80.622577482985506</v>
      </c>
      <c r="D7" s="17">
        <v>78.6666666666667</v>
      </c>
      <c r="E7" s="17">
        <v>85</v>
      </c>
      <c r="F7" s="17">
        <v>1</v>
      </c>
      <c r="G7" s="17">
        <v>82.224515496597107</v>
      </c>
      <c r="H7" s="18" t="s">
        <v>97</v>
      </c>
    </row>
    <row r="8" spans="1:8" ht="19">
      <c r="A8" s="9" t="s">
        <v>13</v>
      </c>
      <c r="B8" s="10" t="s">
        <v>52</v>
      </c>
      <c r="C8" s="17">
        <v>84.852813742385706</v>
      </c>
      <c r="D8" s="17">
        <v>76</v>
      </c>
      <c r="E8" s="17">
        <v>89</v>
      </c>
      <c r="F8" s="17">
        <v>1</v>
      </c>
      <c r="G8" s="17">
        <v>84.270562748477104</v>
      </c>
      <c r="H8" s="18" t="s">
        <v>93</v>
      </c>
    </row>
    <row r="9" spans="1:8" ht="19">
      <c r="A9" s="9" t="s">
        <v>14</v>
      </c>
      <c r="B9" s="10" t="s">
        <v>53</v>
      </c>
      <c r="C9" s="17">
        <v>83.666002653407602</v>
      </c>
      <c r="D9" s="17">
        <v>72.6666666666667</v>
      </c>
      <c r="E9" s="17">
        <v>73.5</v>
      </c>
      <c r="F9" s="17">
        <v>1</v>
      </c>
      <c r="G9" s="17">
        <v>75.283200530681498</v>
      </c>
      <c r="H9" s="18" t="s">
        <v>117</v>
      </c>
    </row>
    <row r="10" spans="1:8" ht="19">
      <c r="A10" s="12" t="s">
        <v>15</v>
      </c>
      <c r="B10" s="13" t="s">
        <v>54</v>
      </c>
      <c r="C10" s="19">
        <v>77.459666924148294</v>
      </c>
      <c r="D10" s="19"/>
      <c r="E10" s="19"/>
      <c r="F10" s="20">
        <v>0.362007168458781</v>
      </c>
      <c r="G10" s="20">
        <v>49.060663082437301</v>
      </c>
      <c r="H10" s="18" t="s">
        <v>124</v>
      </c>
    </row>
    <row r="11" spans="1:8" ht="19">
      <c r="A11" s="12" t="s">
        <v>16</v>
      </c>
      <c r="B11" s="13" t="s">
        <v>55</v>
      </c>
      <c r="C11" s="19">
        <v>81.240384046359594</v>
      </c>
      <c r="D11" s="19"/>
      <c r="E11" s="19"/>
      <c r="F11" s="19">
        <v>1</v>
      </c>
      <c r="G11" s="19">
        <v>87.127250000000004</v>
      </c>
      <c r="H11" s="18" t="s">
        <v>87</v>
      </c>
    </row>
    <row r="12" spans="1:8" ht="19">
      <c r="A12" s="9" t="s">
        <v>17</v>
      </c>
      <c r="B12" s="10" t="s">
        <v>56</v>
      </c>
      <c r="C12" s="17">
        <v>86.023252670426302</v>
      </c>
      <c r="D12" s="17">
        <v>80</v>
      </c>
      <c r="E12" s="17">
        <v>69.099999999999994</v>
      </c>
      <c r="F12" s="17">
        <v>0.98775510204081629</v>
      </c>
      <c r="G12" s="17">
        <v>75.7546505340853</v>
      </c>
      <c r="H12" s="18" t="s">
        <v>116</v>
      </c>
    </row>
    <row r="13" spans="1:8" ht="19">
      <c r="A13" s="9" t="s">
        <v>18</v>
      </c>
      <c r="B13" s="10" t="s">
        <v>57</v>
      </c>
      <c r="C13" s="17">
        <v>84.852813742385706</v>
      </c>
      <c r="D13" s="17">
        <v>75</v>
      </c>
      <c r="E13" s="17">
        <v>75.5</v>
      </c>
      <c r="F13" s="17">
        <v>1</v>
      </c>
      <c r="G13" s="17">
        <v>77.220562748477093</v>
      </c>
      <c r="H13" s="18" t="s">
        <v>111</v>
      </c>
    </row>
    <row r="14" spans="1:8" ht="19">
      <c r="A14" s="9" t="s">
        <v>19</v>
      </c>
      <c r="B14" s="10" t="s">
        <v>58</v>
      </c>
      <c r="C14" s="17">
        <v>87.177978870813504</v>
      </c>
      <c r="D14" s="17">
        <v>79.3333333333333</v>
      </c>
      <c r="E14" s="17">
        <v>81</v>
      </c>
      <c r="F14" s="17">
        <v>1</v>
      </c>
      <c r="G14" s="17">
        <v>81.735595774162704</v>
      </c>
      <c r="H14" s="18" t="s">
        <v>101</v>
      </c>
    </row>
    <row r="15" spans="1:8" ht="19">
      <c r="A15" s="9" t="s">
        <v>20</v>
      </c>
      <c r="B15" s="10" t="s">
        <v>59</v>
      </c>
      <c r="C15" s="17">
        <v>83.666002653407602</v>
      </c>
      <c r="D15" s="17">
        <v>74.6666666666667</v>
      </c>
      <c r="E15" s="17">
        <v>76</v>
      </c>
      <c r="F15" s="17">
        <v>1</v>
      </c>
      <c r="G15" s="17">
        <v>77.133200530681506</v>
      </c>
      <c r="H15" s="18" t="s">
        <v>113</v>
      </c>
    </row>
    <row r="16" spans="1:8" ht="19">
      <c r="A16" s="9" t="s">
        <v>21</v>
      </c>
      <c r="B16" s="10" t="s">
        <v>60</v>
      </c>
      <c r="C16" s="17">
        <v>77.459666924148294</v>
      </c>
      <c r="D16" s="17">
        <v>75.3333333333333</v>
      </c>
      <c r="E16" s="17">
        <v>87</v>
      </c>
      <c r="F16" s="17">
        <v>1</v>
      </c>
      <c r="G16" s="17">
        <v>81.591933384829701</v>
      </c>
      <c r="H16" s="18" t="s">
        <v>102</v>
      </c>
    </row>
    <row r="17" spans="1:8" ht="19">
      <c r="A17" s="9" t="s">
        <v>22</v>
      </c>
      <c r="B17" s="10" t="s">
        <v>61</v>
      </c>
      <c r="C17" s="17">
        <v>80</v>
      </c>
      <c r="D17" s="17">
        <v>79.3333333333333</v>
      </c>
      <c r="E17" s="17">
        <v>84</v>
      </c>
      <c r="F17" s="17">
        <v>1</v>
      </c>
      <c r="G17" s="17">
        <v>81.8</v>
      </c>
      <c r="H17" s="18" t="s">
        <v>100</v>
      </c>
    </row>
    <row r="18" spans="1:8" ht="19">
      <c r="A18" s="9" t="s">
        <v>23</v>
      </c>
      <c r="B18" s="10" t="s">
        <v>62</v>
      </c>
      <c r="C18" s="17">
        <v>80.622577482985506</v>
      </c>
      <c r="D18" s="17">
        <v>78.3333333333333</v>
      </c>
      <c r="E18" s="17">
        <v>79</v>
      </c>
      <c r="F18" s="17">
        <v>1</v>
      </c>
      <c r="G18" s="17">
        <v>79.124515496597098</v>
      </c>
      <c r="H18" s="18" t="s">
        <v>107</v>
      </c>
    </row>
    <row r="19" spans="1:8" ht="19">
      <c r="A19" s="9" t="s">
        <v>24</v>
      </c>
      <c r="B19" s="10" t="s">
        <v>63</v>
      </c>
      <c r="C19" s="17">
        <v>81.240384046359594</v>
      </c>
      <c r="D19" s="17">
        <v>75</v>
      </c>
      <c r="E19" s="17">
        <v>72</v>
      </c>
      <c r="F19" s="17">
        <v>1</v>
      </c>
      <c r="G19" s="17">
        <v>74.748076809271893</v>
      </c>
      <c r="H19" s="18" t="s">
        <v>119</v>
      </c>
    </row>
    <row r="20" spans="1:8" ht="19">
      <c r="A20" s="9" t="s">
        <v>25</v>
      </c>
      <c r="B20" s="10" t="s">
        <v>64</v>
      </c>
      <c r="C20" s="17">
        <v>86.023252670426302</v>
      </c>
      <c r="D20" s="17">
        <v>77.6666666666667</v>
      </c>
      <c r="E20" s="17">
        <v>81.5</v>
      </c>
      <c r="F20" s="17">
        <v>1</v>
      </c>
      <c r="G20" s="17">
        <v>81.2546505340853</v>
      </c>
      <c r="H20" s="18" t="s">
        <v>104</v>
      </c>
    </row>
    <row r="21" spans="1:8" ht="19">
      <c r="A21" s="9" t="s">
        <v>26</v>
      </c>
      <c r="B21" s="10" t="s">
        <v>65</v>
      </c>
      <c r="C21" s="17">
        <v>86.023252670426302</v>
      </c>
      <c r="D21" s="17">
        <v>82.3333333333333</v>
      </c>
      <c r="E21" s="17">
        <v>81</v>
      </c>
      <c r="F21" s="17">
        <v>1</v>
      </c>
      <c r="G21" s="17">
        <v>82.404650534085206</v>
      </c>
      <c r="H21" s="18" t="s">
        <v>96</v>
      </c>
    </row>
    <row r="22" spans="1:8" ht="19">
      <c r="A22" s="9" t="s">
        <v>27</v>
      </c>
      <c r="B22" s="10" t="s">
        <v>66</v>
      </c>
      <c r="C22" s="17">
        <v>83.666002653407602</v>
      </c>
      <c r="D22" s="17">
        <v>75</v>
      </c>
      <c r="E22" s="17">
        <v>77.5</v>
      </c>
      <c r="F22" s="17">
        <v>1</v>
      </c>
      <c r="G22" s="17">
        <v>77.983200530681501</v>
      </c>
      <c r="H22" s="18" t="s">
        <v>110</v>
      </c>
    </row>
    <row r="23" spans="1:8" ht="18">
      <c r="A23" s="11" t="s">
        <v>28</v>
      </c>
      <c r="B23" s="11" t="s">
        <v>67</v>
      </c>
      <c r="C23" s="17">
        <v>80</v>
      </c>
      <c r="D23" s="17">
        <v>69.6666666666667</v>
      </c>
      <c r="E23" s="17">
        <v>75.5</v>
      </c>
      <c r="F23" s="17">
        <v>1</v>
      </c>
      <c r="G23" s="17">
        <v>74.650000000000006</v>
      </c>
      <c r="H23" s="18" t="s">
        <v>120</v>
      </c>
    </row>
    <row r="24" spans="1:8" ht="19">
      <c r="A24" s="9" t="s">
        <v>29</v>
      </c>
      <c r="B24" s="10" t="s">
        <v>68</v>
      </c>
      <c r="C24" s="17">
        <v>77.459666924148294</v>
      </c>
      <c r="D24" s="17">
        <v>78.3333333333333</v>
      </c>
      <c r="E24" s="17">
        <v>79</v>
      </c>
      <c r="F24" s="17">
        <v>1</v>
      </c>
      <c r="G24" s="17">
        <v>78.491933384829693</v>
      </c>
      <c r="H24" s="18" t="s">
        <v>108</v>
      </c>
    </row>
    <row r="25" spans="1:8" ht="19">
      <c r="A25" s="15" t="s">
        <v>30</v>
      </c>
      <c r="B25" s="10" t="s">
        <v>69</v>
      </c>
      <c r="C25" s="17">
        <v>81.240384046359594</v>
      </c>
      <c r="D25" s="17">
        <v>70.3333333333333</v>
      </c>
      <c r="E25" s="17">
        <v>77.5</v>
      </c>
      <c r="F25" s="17">
        <v>1</v>
      </c>
      <c r="G25" s="17">
        <v>76.098076809271902</v>
      </c>
      <c r="H25" s="18" t="s">
        <v>114</v>
      </c>
    </row>
    <row r="26" spans="1:8" ht="19">
      <c r="A26" s="9" t="s">
        <v>31</v>
      </c>
      <c r="B26" s="10" t="s">
        <v>70</v>
      </c>
      <c r="C26" s="17">
        <v>77.459666924148294</v>
      </c>
      <c r="D26" s="17">
        <v>75.3333333333333</v>
      </c>
      <c r="E26" s="17">
        <v>87</v>
      </c>
      <c r="F26" s="17">
        <v>1</v>
      </c>
      <c r="G26" s="17">
        <v>81.591933384829701</v>
      </c>
      <c r="H26" s="18" t="s">
        <v>103</v>
      </c>
    </row>
    <row r="27" spans="1:8" ht="18">
      <c r="A27" s="11" t="s">
        <v>32</v>
      </c>
      <c r="B27" s="11" t="s">
        <v>71</v>
      </c>
      <c r="C27" s="17">
        <v>81.240384046359594</v>
      </c>
      <c r="D27" s="17">
        <v>73.3333333333333</v>
      </c>
      <c r="E27" s="17">
        <v>75.5</v>
      </c>
      <c r="F27" s="17">
        <v>1</v>
      </c>
      <c r="G27" s="17">
        <v>75.998076809271893</v>
      </c>
      <c r="H27" s="18" t="s">
        <v>115</v>
      </c>
    </row>
    <row r="28" spans="1:8" ht="18">
      <c r="A28" s="11" t="s">
        <v>33</v>
      </c>
      <c r="B28" s="11" t="s">
        <v>72</v>
      </c>
      <c r="C28" s="17">
        <v>78.740078740118093</v>
      </c>
      <c r="D28" s="17">
        <v>72</v>
      </c>
      <c r="E28" s="17">
        <v>74.5</v>
      </c>
      <c r="F28" s="17">
        <v>1</v>
      </c>
      <c r="G28" s="17">
        <v>74.598015748023599</v>
      </c>
      <c r="H28" s="18" t="s">
        <v>121</v>
      </c>
    </row>
    <row r="29" spans="1:8" ht="18">
      <c r="A29" s="11" t="s">
        <v>34</v>
      </c>
      <c r="B29" s="11" t="s">
        <v>73</v>
      </c>
      <c r="C29" s="17">
        <v>84.852813742385706</v>
      </c>
      <c r="D29" s="17">
        <v>83</v>
      </c>
      <c r="E29" s="17">
        <v>84.5</v>
      </c>
      <c r="F29" s="17">
        <v>1</v>
      </c>
      <c r="G29" s="17">
        <v>84.120562748477099</v>
      </c>
      <c r="H29" s="18" t="s">
        <v>94</v>
      </c>
    </row>
    <row r="30" spans="1:8" ht="19">
      <c r="A30" s="9" t="s">
        <v>35</v>
      </c>
      <c r="B30" s="9" t="s">
        <v>74</v>
      </c>
      <c r="C30" s="17">
        <v>77.459666924148294</v>
      </c>
      <c r="D30" s="17">
        <v>83</v>
      </c>
      <c r="E30" s="17">
        <v>82.9</v>
      </c>
      <c r="F30" s="17">
        <v>0.98775510204081629</v>
      </c>
      <c r="G30" s="17">
        <v>81.841933384829701</v>
      </c>
      <c r="H30" s="18" t="s">
        <v>99</v>
      </c>
    </row>
    <row r="31" spans="1:8" ht="19">
      <c r="A31" s="9" t="s">
        <v>36</v>
      </c>
      <c r="B31" s="10" t="s">
        <v>75</v>
      </c>
      <c r="C31" s="17">
        <v>78.740078740118093</v>
      </c>
      <c r="D31" s="17">
        <v>81.3333333333333</v>
      </c>
      <c r="E31" s="17">
        <v>74</v>
      </c>
      <c r="F31" s="17">
        <v>1</v>
      </c>
      <c r="G31" s="17">
        <v>77.148015748023596</v>
      </c>
      <c r="H31" s="18" t="s">
        <v>112</v>
      </c>
    </row>
    <row r="32" spans="1:8" ht="18">
      <c r="A32" s="15" t="s">
        <v>37</v>
      </c>
      <c r="B32" s="16" t="s">
        <v>76</v>
      </c>
      <c r="C32" s="17">
        <v>77.459666924148294</v>
      </c>
      <c r="D32" s="17">
        <v>78.6666666666667</v>
      </c>
      <c r="E32" s="17">
        <v>88</v>
      </c>
      <c r="F32" s="17">
        <v>1</v>
      </c>
      <c r="G32" s="17">
        <v>83.091933384829701</v>
      </c>
      <c r="H32" s="18" t="s">
        <v>95</v>
      </c>
    </row>
    <row r="33" spans="1:8" ht="19">
      <c r="A33" s="9" t="s">
        <v>38</v>
      </c>
      <c r="B33" s="10" t="s">
        <v>77</v>
      </c>
      <c r="C33" s="17">
        <v>77.459666924148294</v>
      </c>
      <c r="D33" s="17">
        <v>79.3333333333333</v>
      </c>
      <c r="E33" s="17">
        <v>69.2</v>
      </c>
      <c r="F33" s="17">
        <v>0.8448979591836735</v>
      </c>
      <c r="G33" s="17">
        <v>73.891933384829699</v>
      </c>
      <c r="H33" s="18" t="s">
        <v>123</v>
      </c>
    </row>
    <row r="34" spans="1:8" ht="18">
      <c r="A34" s="11" t="s">
        <v>40</v>
      </c>
      <c r="B34" s="11" t="s">
        <v>79</v>
      </c>
      <c r="C34" s="17">
        <v>82.462112512353201</v>
      </c>
      <c r="D34" s="17">
        <v>79</v>
      </c>
      <c r="E34" s="17">
        <v>89</v>
      </c>
      <c r="F34" s="17">
        <v>1</v>
      </c>
      <c r="G34" s="17">
        <v>84.692422502470606</v>
      </c>
      <c r="H34" s="18" t="s">
        <v>91</v>
      </c>
    </row>
    <row r="35" spans="1:8" ht="19">
      <c r="A35" s="9" t="s">
        <v>41</v>
      </c>
      <c r="B35" s="10" t="s">
        <v>80</v>
      </c>
      <c r="C35" s="17">
        <v>82.462112512353201</v>
      </c>
      <c r="D35" s="17">
        <v>80.3333333333333</v>
      </c>
      <c r="E35" s="17">
        <v>88.5</v>
      </c>
      <c r="F35" s="17">
        <v>1</v>
      </c>
      <c r="G35" s="17">
        <v>84.842422502470598</v>
      </c>
      <c r="H35" s="18" t="s">
        <v>90</v>
      </c>
    </row>
    <row r="36" spans="1:8" ht="19">
      <c r="A36" s="9" t="s">
        <v>42</v>
      </c>
      <c r="B36" s="10" t="s">
        <v>81</v>
      </c>
      <c r="C36" s="17">
        <v>82.462112512353201</v>
      </c>
      <c r="D36" s="17">
        <v>78.6666666666667</v>
      </c>
      <c r="E36" s="17">
        <v>80.400000000000006</v>
      </c>
      <c r="F36" s="17">
        <v>0.93061224489795913</v>
      </c>
      <c r="G36" s="17">
        <v>80.2924225024707</v>
      </c>
      <c r="H36" s="18" t="s">
        <v>105</v>
      </c>
    </row>
    <row r="37" spans="1:8" ht="19">
      <c r="A37" s="12" t="s">
        <v>43</v>
      </c>
      <c r="B37" s="13" t="s">
        <v>82</v>
      </c>
      <c r="C37" s="19">
        <v>84.852813742385706</v>
      </c>
      <c r="D37" s="19"/>
      <c r="E37" s="19"/>
      <c r="F37" s="19">
        <v>1</v>
      </c>
      <c r="G37" s="19">
        <v>86.404499999999999</v>
      </c>
      <c r="H37" s="18" t="s">
        <v>88</v>
      </c>
    </row>
    <row r="38" spans="1:8" ht="19">
      <c r="A38" s="9" t="s">
        <v>44</v>
      </c>
      <c r="B38" s="10" t="s">
        <v>83</v>
      </c>
      <c r="C38" s="17">
        <v>73.484692283495306</v>
      </c>
      <c r="D38" s="17">
        <v>75.3333333333333</v>
      </c>
      <c r="E38" s="17">
        <v>75</v>
      </c>
      <c r="F38" s="17">
        <v>1</v>
      </c>
      <c r="G38" s="17">
        <v>74.796938456699095</v>
      </c>
      <c r="H38" s="18" t="s">
        <v>118</v>
      </c>
    </row>
    <row r="39" spans="1:8" ht="19">
      <c r="A39" s="9" t="s">
        <v>45</v>
      </c>
      <c r="B39" s="10" t="s">
        <v>84</v>
      </c>
      <c r="C39" s="17">
        <v>78.102496759066497</v>
      </c>
      <c r="D39" s="17">
        <v>73.6666666666667</v>
      </c>
      <c r="E39" s="17">
        <v>73</v>
      </c>
      <c r="F39" s="17">
        <v>1</v>
      </c>
      <c r="G39" s="17">
        <v>74.220499351813302</v>
      </c>
      <c r="H39" s="18" t="s">
        <v>122</v>
      </c>
    </row>
    <row r="40" spans="1:8" ht="19">
      <c r="A40" s="15" t="s">
        <v>39</v>
      </c>
      <c r="B40" s="10" t="s">
        <v>78</v>
      </c>
      <c r="C40" s="17">
        <v>77.459666924148294</v>
      </c>
      <c r="D40" s="17">
        <v>84</v>
      </c>
      <c r="E40" s="17">
        <v>83</v>
      </c>
      <c r="F40" s="17">
        <v>1</v>
      </c>
      <c r="G40" s="17">
        <v>82.191933384829696</v>
      </c>
      <c r="H40" s="18" t="s">
        <v>98</v>
      </c>
    </row>
  </sheetData>
  <sortState xmlns:xlrd2="http://schemas.microsoft.com/office/spreadsheetml/2017/richdata2" ref="A3:H41">
    <sortCondition ref="A2:A41"/>
  </sortState>
  <mergeCells count="1">
    <mergeCell ref="A1:H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9169-4951-0F45-A53D-C803A5CD37D2}">
  <dimension ref="A1:H40"/>
  <sheetViews>
    <sheetView zoomScale="75" workbookViewId="0">
      <selection activeCell="H7" sqref="H7"/>
    </sheetView>
  </sheetViews>
  <sheetFormatPr baseColWidth="10" defaultRowHeight="16"/>
  <cols>
    <col min="1" max="8" width="20.83203125" customWidth="1"/>
  </cols>
  <sheetData>
    <row r="1" spans="1:8" ht="24" customHeight="1">
      <c r="A1" s="49" t="s">
        <v>201</v>
      </c>
      <c r="B1" s="50"/>
      <c r="C1" s="50"/>
      <c r="D1" s="50"/>
      <c r="E1" s="50"/>
      <c r="F1" s="50"/>
      <c r="G1" s="50"/>
      <c r="H1" s="51"/>
    </row>
    <row r="2" spans="1:8" ht="24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2" t="s">
        <v>6</v>
      </c>
      <c r="H2" s="8" t="s">
        <v>7</v>
      </c>
    </row>
    <row r="3" spans="1:8" ht="18">
      <c r="A3" s="11" t="s">
        <v>125</v>
      </c>
      <c r="B3" s="11" t="s">
        <v>126</v>
      </c>
      <c r="C3" s="17">
        <v>92.520268049763018</v>
      </c>
      <c r="D3" s="17">
        <v>91</v>
      </c>
      <c r="E3" s="17">
        <v>85.6</v>
      </c>
      <c r="F3" s="17">
        <v>0.97142857142857142</v>
      </c>
      <c r="G3" s="17">
        <v>88.604053609952601</v>
      </c>
      <c r="H3" s="18" t="s">
        <v>108</v>
      </c>
    </row>
    <row r="4" spans="1:8" ht="18">
      <c r="A4" s="11" t="s">
        <v>127</v>
      </c>
      <c r="B4" s="11" t="s">
        <v>128</v>
      </c>
      <c r="C4" s="17">
        <v>95.341491492424225</v>
      </c>
      <c r="D4" s="17">
        <v>89</v>
      </c>
      <c r="E4" s="17">
        <v>90.9</v>
      </c>
      <c r="F4" s="17">
        <v>0.98775510204081629</v>
      </c>
      <c r="G4" s="17">
        <v>91.218298298484854</v>
      </c>
      <c r="H4" s="18" t="s">
        <v>94</v>
      </c>
    </row>
    <row r="5" spans="1:8" ht="18">
      <c r="A5" s="11" t="s">
        <v>129</v>
      </c>
      <c r="B5" s="11" t="s">
        <v>130</v>
      </c>
      <c r="C5" s="17">
        <v>89.162772500635029</v>
      </c>
      <c r="D5" s="17">
        <v>87</v>
      </c>
      <c r="E5" s="17">
        <v>79.5</v>
      </c>
      <c r="F5" s="17">
        <v>1</v>
      </c>
      <c r="G5" s="17">
        <v>83.682554500126997</v>
      </c>
      <c r="H5" s="18" t="s">
        <v>120</v>
      </c>
    </row>
    <row r="6" spans="1:8" ht="18">
      <c r="A6" s="11" t="s">
        <v>131</v>
      </c>
      <c r="B6" s="11" t="s">
        <v>132</v>
      </c>
      <c r="C6" s="17">
        <v>94.551573228582498</v>
      </c>
      <c r="D6" s="17">
        <v>86</v>
      </c>
      <c r="E6" s="17">
        <v>89.4</v>
      </c>
      <c r="F6" s="17">
        <v>1</v>
      </c>
      <c r="G6" s="17">
        <v>89.410314645716497</v>
      </c>
      <c r="H6" s="18" t="s">
        <v>105</v>
      </c>
    </row>
    <row r="7" spans="1:8" ht="18">
      <c r="A7" s="11" t="s">
        <v>133</v>
      </c>
      <c r="B7" s="11" t="s">
        <v>134</v>
      </c>
      <c r="C7" s="17">
        <v>39.496835316262995</v>
      </c>
      <c r="D7" s="17">
        <v>0</v>
      </c>
      <c r="E7" s="17">
        <v>15.6</v>
      </c>
      <c r="F7" s="17">
        <v>0.2</v>
      </c>
      <c r="G7" s="20">
        <v>15.699367063252598</v>
      </c>
      <c r="H7" s="18" t="s">
        <v>124</v>
      </c>
    </row>
    <row r="8" spans="1:8" ht="18">
      <c r="A8" s="11" t="s">
        <v>135</v>
      </c>
      <c r="B8" s="11" t="s">
        <v>136</v>
      </c>
      <c r="C8" s="17">
        <v>95.131487952202235</v>
      </c>
      <c r="D8" s="17">
        <v>94</v>
      </c>
      <c r="E8" s="17">
        <v>90.5</v>
      </c>
      <c r="F8" s="17">
        <v>1</v>
      </c>
      <c r="G8" s="17">
        <v>92.476297590440453</v>
      </c>
      <c r="H8" s="18" t="s">
        <v>87</v>
      </c>
    </row>
    <row r="9" spans="1:8" ht="18">
      <c r="A9" s="11" t="s">
        <v>137</v>
      </c>
      <c r="B9" s="11" t="s">
        <v>138</v>
      </c>
      <c r="C9" s="17">
        <v>94.339811320566028</v>
      </c>
      <c r="D9" s="17">
        <v>89</v>
      </c>
      <c r="E9" s="17">
        <v>89</v>
      </c>
      <c r="F9" s="17">
        <v>1</v>
      </c>
      <c r="G9" s="17">
        <v>90.067962264113206</v>
      </c>
      <c r="H9" s="18" t="s">
        <v>100</v>
      </c>
    </row>
    <row r="10" spans="1:8" ht="18">
      <c r="A10" s="11" t="s">
        <v>139</v>
      </c>
      <c r="B10" s="11" t="s">
        <v>140</v>
      </c>
      <c r="C10" s="17">
        <v>94.0744386111339</v>
      </c>
      <c r="D10" s="17">
        <v>93</v>
      </c>
      <c r="E10" s="17">
        <v>88.5</v>
      </c>
      <c r="F10" s="17">
        <v>1</v>
      </c>
      <c r="G10" s="17">
        <v>90.964887722226791</v>
      </c>
      <c r="H10" s="18" t="s">
        <v>96</v>
      </c>
    </row>
    <row r="11" spans="1:8" ht="18">
      <c r="A11" s="11" t="s">
        <v>141</v>
      </c>
      <c r="B11" s="11" t="s">
        <v>142</v>
      </c>
      <c r="C11" s="17">
        <v>94.604439642122514</v>
      </c>
      <c r="D11" s="17">
        <v>95</v>
      </c>
      <c r="E11" s="17">
        <v>89.5</v>
      </c>
      <c r="F11" s="17">
        <v>1</v>
      </c>
      <c r="G11" s="17">
        <v>92.170887928424506</v>
      </c>
      <c r="H11" s="18" t="s">
        <v>89</v>
      </c>
    </row>
    <row r="12" spans="1:8" ht="18">
      <c r="A12" s="11" t="s">
        <v>143</v>
      </c>
      <c r="B12" s="11" t="s">
        <v>144</v>
      </c>
      <c r="C12" s="17">
        <v>94.0744386111339</v>
      </c>
      <c r="D12" s="17">
        <v>94</v>
      </c>
      <c r="E12" s="17">
        <v>88.5</v>
      </c>
      <c r="F12" s="17">
        <v>1</v>
      </c>
      <c r="G12" s="17">
        <v>91.264887722226788</v>
      </c>
      <c r="H12" s="18" t="s">
        <v>93</v>
      </c>
    </row>
    <row r="13" spans="1:8" ht="18">
      <c r="A13" s="11" t="s">
        <v>145</v>
      </c>
      <c r="B13" s="11" t="s">
        <v>146</v>
      </c>
      <c r="C13" s="17">
        <v>88.881944173155887</v>
      </c>
      <c r="D13" s="17">
        <v>93</v>
      </c>
      <c r="E13" s="17">
        <v>79</v>
      </c>
      <c r="F13" s="17">
        <v>1</v>
      </c>
      <c r="G13" s="17">
        <v>85.176388834631183</v>
      </c>
      <c r="H13" s="18" t="s">
        <v>114</v>
      </c>
    </row>
    <row r="14" spans="1:8" ht="18">
      <c r="A14" s="11" t="s">
        <v>147</v>
      </c>
      <c r="B14" s="11" t="s">
        <v>148</v>
      </c>
      <c r="C14" s="17">
        <v>92.983869568866609</v>
      </c>
      <c r="D14" s="17">
        <v>89</v>
      </c>
      <c r="E14" s="17">
        <v>86.46</v>
      </c>
      <c r="F14" s="17">
        <v>0.98775510204081629</v>
      </c>
      <c r="G14" s="17">
        <v>88.526773913773326</v>
      </c>
      <c r="H14" s="18" t="s">
        <v>109</v>
      </c>
    </row>
    <row r="15" spans="1:8" ht="18">
      <c r="A15" s="11" t="s">
        <v>149</v>
      </c>
      <c r="B15" s="11" t="s">
        <v>150</v>
      </c>
      <c r="C15" s="17">
        <v>89.162772500635029</v>
      </c>
      <c r="D15" s="17">
        <v>89</v>
      </c>
      <c r="E15" s="17">
        <v>79.5</v>
      </c>
      <c r="F15" s="17">
        <v>1</v>
      </c>
      <c r="G15" s="17">
        <v>84.282554500127006</v>
      </c>
      <c r="H15" s="18" t="s">
        <v>118</v>
      </c>
    </row>
    <row r="16" spans="1:8" ht="18">
      <c r="A16" s="11" t="s">
        <v>151</v>
      </c>
      <c r="B16" s="11" t="s">
        <v>152</v>
      </c>
      <c r="C16" s="17">
        <v>95.131487952202235</v>
      </c>
      <c r="D16" s="17">
        <v>92</v>
      </c>
      <c r="E16" s="17">
        <v>90.5</v>
      </c>
      <c r="F16" s="17">
        <v>1</v>
      </c>
      <c r="G16" s="17">
        <v>91.876297590440444</v>
      </c>
      <c r="H16" s="18" t="s">
        <v>91</v>
      </c>
    </row>
    <row r="17" spans="1:8" ht="18">
      <c r="A17" s="11" t="s">
        <v>153</v>
      </c>
      <c r="B17" s="11" t="s">
        <v>154</v>
      </c>
      <c r="C17" s="17">
        <v>93.808315196468598</v>
      </c>
      <c r="D17" s="17">
        <v>89</v>
      </c>
      <c r="E17" s="17">
        <v>88</v>
      </c>
      <c r="F17" s="17">
        <v>1</v>
      </c>
      <c r="G17" s="17">
        <v>89.461663039293725</v>
      </c>
      <c r="H17" s="18" t="s">
        <v>104</v>
      </c>
    </row>
    <row r="18" spans="1:8" ht="18">
      <c r="A18" s="11" t="s">
        <v>155</v>
      </c>
      <c r="B18" s="11" t="s">
        <v>156</v>
      </c>
      <c r="C18" s="17">
        <v>89.442719099991592</v>
      </c>
      <c r="D18" s="17">
        <v>94</v>
      </c>
      <c r="E18" s="17">
        <v>80</v>
      </c>
      <c r="F18" s="17">
        <v>1</v>
      </c>
      <c r="G18" s="17">
        <v>86.088543819998321</v>
      </c>
      <c r="H18" s="18" t="s">
        <v>112</v>
      </c>
    </row>
    <row r="19" spans="1:8" ht="18">
      <c r="A19" s="11" t="s">
        <v>157</v>
      </c>
      <c r="B19" s="11" t="s">
        <v>158</v>
      </c>
      <c r="C19" s="17">
        <v>89.162772500635029</v>
      </c>
      <c r="D19" s="17">
        <v>93</v>
      </c>
      <c r="E19" s="17">
        <v>79.5</v>
      </c>
      <c r="F19" s="17">
        <v>1</v>
      </c>
      <c r="G19" s="17">
        <v>85.482554500127009</v>
      </c>
      <c r="H19" s="18" t="s">
        <v>113</v>
      </c>
    </row>
    <row r="20" spans="1:8" ht="18">
      <c r="A20" s="11" t="s">
        <v>159</v>
      </c>
      <c r="B20" s="11" t="s">
        <v>160</v>
      </c>
      <c r="C20" s="17">
        <v>85.848704125339012</v>
      </c>
      <c r="D20" s="17">
        <v>88</v>
      </c>
      <c r="E20" s="17">
        <v>73.7</v>
      </c>
      <c r="F20" s="17">
        <v>0.94285714285714284</v>
      </c>
      <c r="G20" s="17">
        <v>80.419740825067805</v>
      </c>
      <c r="H20" s="18" t="s">
        <v>123</v>
      </c>
    </row>
    <row r="21" spans="1:8" ht="18">
      <c r="A21" s="11" t="s">
        <v>161</v>
      </c>
      <c r="B21" s="11" t="s">
        <v>162</v>
      </c>
      <c r="C21" s="17">
        <v>93.808315196468598</v>
      </c>
      <c r="D21" s="17">
        <v>96</v>
      </c>
      <c r="E21" s="17">
        <v>88</v>
      </c>
      <c r="F21" s="17">
        <v>1</v>
      </c>
      <c r="G21" s="17">
        <v>91.56166303929372</v>
      </c>
      <c r="H21" s="18" t="s">
        <v>92</v>
      </c>
    </row>
    <row r="22" spans="1:8" ht="18">
      <c r="A22" s="11" t="s">
        <v>163</v>
      </c>
      <c r="B22" s="11" t="s">
        <v>164</v>
      </c>
      <c r="C22" s="17">
        <v>94.339811320566028</v>
      </c>
      <c r="D22" s="17">
        <v>91</v>
      </c>
      <c r="E22" s="17">
        <v>89</v>
      </c>
      <c r="F22" s="17">
        <v>1</v>
      </c>
      <c r="G22" s="17">
        <v>90.6679622641132</v>
      </c>
      <c r="H22" s="18" t="s">
        <v>98</v>
      </c>
    </row>
    <row r="23" spans="1:8" ht="18">
      <c r="A23" s="11" t="s">
        <v>165</v>
      </c>
      <c r="B23" s="11" t="s">
        <v>166</v>
      </c>
      <c r="C23" s="17">
        <v>94.868329805051388</v>
      </c>
      <c r="D23" s="17">
        <v>83</v>
      </c>
      <c r="E23" s="17">
        <v>90</v>
      </c>
      <c r="F23" s="17">
        <v>1</v>
      </c>
      <c r="G23" s="17">
        <v>88.873665961010289</v>
      </c>
      <c r="H23" s="18" t="s">
        <v>106</v>
      </c>
    </row>
    <row r="24" spans="1:8" ht="18">
      <c r="A24" s="11" t="s">
        <v>167</v>
      </c>
      <c r="B24" s="11" t="s">
        <v>168</v>
      </c>
      <c r="C24" s="17">
        <v>94.0744386111339</v>
      </c>
      <c r="D24" s="17">
        <v>88</v>
      </c>
      <c r="E24" s="17">
        <v>88.5</v>
      </c>
      <c r="F24" s="17">
        <v>1</v>
      </c>
      <c r="G24" s="17">
        <v>89.464887722226791</v>
      </c>
      <c r="H24" s="18" t="s">
        <v>103</v>
      </c>
    </row>
    <row r="25" spans="1:8" ht="18">
      <c r="A25" s="11" t="s">
        <v>169</v>
      </c>
      <c r="B25" s="11" t="s">
        <v>170</v>
      </c>
      <c r="C25" s="17">
        <v>91.433035605299693</v>
      </c>
      <c r="D25" s="17">
        <v>89</v>
      </c>
      <c r="E25" s="17">
        <v>83.6</v>
      </c>
      <c r="F25" s="17">
        <v>0.94285714285714284</v>
      </c>
      <c r="G25" s="17">
        <v>86.786607121059944</v>
      </c>
      <c r="H25" s="18" t="s">
        <v>110</v>
      </c>
    </row>
    <row r="26" spans="1:8" ht="18">
      <c r="A26" s="11" t="s">
        <v>171</v>
      </c>
      <c r="B26" s="11" t="s">
        <v>172</v>
      </c>
      <c r="C26" s="17">
        <v>89.442719099991592</v>
      </c>
      <c r="D26" s="17">
        <v>89</v>
      </c>
      <c r="E26" s="17">
        <v>80</v>
      </c>
      <c r="F26" s="17">
        <v>1</v>
      </c>
      <c r="G26" s="17">
        <v>84.588543819998321</v>
      </c>
      <c r="H26" s="18" t="s">
        <v>117</v>
      </c>
    </row>
    <row r="27" spans="1:8" ht="18">
      <c r="A27" s="11" t="s">
        <v>173</v>
      </c>
      <c r="B27" s="11" t="s">
        <v>174</v>
      </c>
      <c r="C27" s="17">
        <v>94.0744386111339</v>
      </c>
      <c r="D27" s="17">
        <v>92</v>
      </c>
      <c r="E27" s="17">
        <v>88.5</v>
      </c>
      <c r="F27" s="17">
        <v>1</v>
      </c>
      <c r="G27" s="17">
        <v>90.66488772222678</v>
      </c>
      <c r="H27" s="18" t="s">
        <v>99</v>
      </c>
    </row>
    <row r="28" spans="1:8" ht="18">
      <c r="A28" s="11" t="s">
        <v>175</v>
      </c>
      <c r="B28" s="11" t="s">
        <v>176</v>
      </c>
      <c r="C28" s="17">
        <v>93.541434669348547</v>
      </c>
      <c r="D28" s="17">
        <v>99</v>
      </c>
      <c r="E28" s="17">
        <v>87.5</v>
      </c>
      <c r="F28" s="17">
        <v>1</v>
      </c>
      <c r="G28" s="17">
        <v>92.158286933869718</v>
      </c>
      <c r="H28" s="18" t="s">
        <v>90</v>
      </c>
    </row>
    <row r="29" spans="1:8" ht="18">
      <c r="A29" s="11" t="s">
        <v>177</v>
      </c>
      <c r="B29" s="11" t="s">
        <v>178</v>
      </c>
      <c r="C29" s="17">
        <v>93.808315196468598</v>
      </c>
      <c r="D29" s="17">
        <v>87</v>
      </c>
      <c r="E29" s="17">
        <v>88</v>
      </c>
      <c r="F29" s="17">
        <v>1</v>
      </c>
      <c r="G29" s="17">
        <v>88.861663039293717</v>
      </c>
      <c r="H29" s="18" t="s">
        <v>107</v>
      </c>
    </row>
    <row r="30" spans="1:8" ht="18">
      <c r="A30" s="11" t="s">
        <v>179</v>
      </c>
      <c r="B30" s="11" t="s">
        <v>180</v>
      </c>
      <c r="C30" s="17">
        <v>88.600225733346747</v>
      </c>
      <c r="D30" s="17">
        <v>89</v>
      </c>
      <c r="E30" s="17">
        <v>78.5</v>
      </c>
      <c r="F30" s="17">
        <v>1</v>
      </c>
      <c r="G30" s="17">
        <v>83.670045146669352</v>
      </c>
      <c r="H30" s="18" t="s">
        <v>121</v>
      </c>
    </row>
    <row r="31" spans="1:8" ht="18">
      <c r="A31" s="11" t="s">
        <v>181</v>
      </c>
      <c r="B31" s="11" t="s">
        <v>182</v>
      </c>
      <c r="C31" s="17">
        <v>94.604439642122514</v>
      </c>
      <c r="D31" s="17">
        <v>86</v>
      </c>
      <c r="E31" s="17">
        <v>89.5</v>
      </c>
      <c r="F31" s="17">
        <v>1</v>
      </c>
      <c r="G31" s="17">
        <v>89.470887928424503</v>
      </c>
      <c r="H31" s="18" t="s">
        <v>102</v>
      </c>
    </row>
    <row r="32" spans="1:8" ht="18">
      <c r="A32" s="11" t="s">
        <v>183</v>
      </c>
      <c r="B32" s="11" t="s">
        <v>184</v>
      </c>
      <c r="C32" s="17">
        <v>89.442719099991592</v>
      </c>
      <c r="D32" s="17">
        <v>90</v>
      </c>
      <c r="E32" s="17">
        <v>80</v>
      </c>
      <c r="F32" s="17">
        <v>1</v>
      </c>
      <c r="G32" s="17">
        <v>84.888543819998318</v>
      </c>
      <c r="H32" s="18" t="s">
        <v>115</v>
      </c>
    </row>
    <row r="33" spans="1:8" ht="18">
      <c r="A33" s="11" t="s">
        <v>185</v>
      </c>
      <c r="B33" s="11" t="s">
        <v>186</v>
      </c>
      <c r="C33" s="17">
        <v>86.371291526756721</v>
      </c>
      <c r="D33" s="17">
        <v>93</v>
      </c>
      <c r="E33" s="17">
        <v>74.599999999999994</v>
      </c>
      <c r="F33" s="17">
        <v>0.94285714285714284</v>
      </c>
      <c r="G33" s="17">
        <v>82.474258305351341</v>
      </c>
      <c r="H33" s="18" t="s">
        <v>122</v>
      </c>
    </row>
    <row r="34" spans="1:8" ht="18">
      <c r="A34" s="11" t="s">
        <v>187</v>
      </c>
      <c r="B34" s="11" t="s">
        <v>188</v>
      </c>
      <c r="C34" s="17">
        <v>89.721792224631812</v>
      </c>
      <c r="D34" s="17">
        <v>95</v>
      </c>
      <c r="E34" s="17">
        <v>80.5</v>
      </c>
      <c r="F34" s="17">
        <v>1</v>
      </c>
      <c r="G34" s="17">
        <v>86.694358444926365</v>
      </c>
      <c r="H34" s="18" t="s">
        <v>111</v>
      </c>
    </row>
    <row r="35" spans="1:8" ht="18">
      <c r="A35" s="11" t="s">
        <v>189</v>
      </c>
      <c r="B35" s="11" t="s">
        <v>190</v>
      </c>
      <c r="C35" s="17">
        <v>87.177978870813476</v>
      </c>
      <c r="D35" s="17">
        <v>95</v>
      </c>
      <c r="E35" s="17">
        <v>76</v>
      </c>
      <c r="F35" s="17">
        <v>1</v>
      </c>
      <c r="G35" s="17">
        <v>83.935595774162692</v>
      </c>
      <c r="H35" s="18" t="s">
        <v>119</v>
      </c>
    </row>
    <row r="36" spans="1:8" ht="18">
      <c r="A36" s="11" t="s">
        <v>191</v>
      </c>
      <c r="B36" s="11" t="s">
        <v>192</v>
      </c>
      <c r="C36" s="17">
        <v>94.0744386111339</v>
      </c>
      <c r="D36" s="17">
        <v>93</v>
      </c>
      <c r="E36" s="17">
        <v>88.5</v>
      </c>
      <c r="F36" s="17">
        <v>1</v>
      </c>
      <c r="G36" s="17">
        <v>90.964887722226791</v>
      </c>
      <c r="H36" s="18" t="s">
        <v>97</v>
      </c>
    </row>
    <row r="37" spans="1:8" ht="18">
      <c r="A37" s="11" t="s">
        <v>193</v>
      </c>
      <c r="B37" s="11" t="s">
        <v>194</v>
      </c>
      <c r="C37" s="17">
        <v>94.604439642122514</v>
      </c>
      <c r="D37" s="17">
        <v>96</v>
      </c>
      <c r="E37" s="17">
        <v>89.5</v>
      </c>
      <c r="F37" s="17">
        <v>1</v>
      </c>
      <c r="G37" s="17">
        <v>92.470887928424503</v>
      </c>
      <c r="H37" s="18" t="s">
        <v>88</v>
      </c>
    </row>
    <row r="38" spans="1:8" ht="18">
      <c r="A38" s="11" t="s">
        <v>195</v>
      </c>
      <c r="B38" s="11" t="s">
        <v>196</v>
      </c>
      <c r="C38" s="17">
        <v>94.339811320566028</v>
      </c>
      <c r="D38" s="17">
        <v>92</v>
      </c>
      <c r="E38" s="17">
        <v>89</v>
      </c>
      <c r="F38" s="17">
        <v>1</v>
      </c>
      <c r="G38" s="17">
        <v>90.967962264113197</v>
      </c>
      <c r="H38" s="18" t="s">
        <v>95</v>
      </c>
    </row>
    <row r="39" spans="1:8" ht="18">
      <c r="A39" s="11" t="s">
        <v>197</v>
      </c>
      <c r="B39" s="11" t="s">
        <v>198</v>
      </c>
      <c r="C39" s="17">
        <v>93.541434669348547</v>
      </c>
      <c r="D39" s="17">
        <v>92</v>
      </c>
      <c r="E39" s="17">
        <v>87.5</v>
      </c>
      <c r="F39" s="17">
        <v>0.97142857142857142</v>
      </c>
      <c r="G39" s="17">
        <v>90.058286933869709</v>
      </c>
      <c r="H39" s="18" t="s">
        <v>101</v>
      </c>
    </row>
    <row r="40" spans="1:8" ht="18">
      <c r="A40" s="11" t="s">
        <v>199</v>
      </c>
      <c r="B40" s="11" t="s">
        <v>200</v>
      </c>
      <c r="C40" s="17">
        <v>89.442719099991592</v>
      </c>
      <c r="D40" s="17">
        <v>90</v>
      </c>
      <c r="E40" s="17">
        <v>80</v>
      </c>
      <c r="F40" s="17">
        <v>1</v>
      </c>
      <c r="G40" s="17">
        <v>84.888543819998318</v>
      </c>
      <c r="H40" s="18" t="s">
        <v>116</v>
      </c>
    </row>
  </sheetData>
  <sortState xmlns:xlrd2="http://schemas.microsoft.com/office/spreadsheetml/2017/richdata2" ref="A3:H41">
    <sortCondition ref="A2:A41"/>
  </sortState>
  <mergeCells count="1">
    <mergeCell ref="A1: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24096-8299-CC43-B10E-607758D7FF5A}">
  <dimension ref="A1:H40"/>
  <sheetViews>
    <sheetView topLeftCell="A2" zoomScale="75" workbookViewId="0">
      <selection activeCell="E21" sqref="E21"/>
    </sheetView>
  </sheetViews>
  <sheetFormatPr baseColWidth="10" defaultRowHeight="16"/>
  <cols>
    <col min="1" max="8" width="20.83203125" customWidth="1"/>
  </cols>
  <sheetData>
    <row r="1" spans="1:8" ht="24" customHeight="1">
      <c r="A1" s="49" t="s">
        <v>202</v>
      </c>
      <c r="B1" s="50"/>
      <c r="C1" s="50"/>
      <c r="D1" s="50"/>
      <c r="E1" s="50"/>
      <c r="F1" s="50"/>
      <c r="G1" s="50"/>
      <c r="H1" s="51"/>
    </row>
    <row r="2" spans="1:8" ht="24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2" t="s">
        <v>6</v>
      </c>
      <c r="H2" s="8" t="s">
        <v>7</v>
      </c>
    </row>
    <row r="3" spans="1:8" ht="18">
      <c r="A3" s="1" t="s">
        <v>241</v>
      </c>
      <c r="B3" s="11" t="s">
        <v>232</v>
      </c>
      <c r="C3" s="17">
        <f>VLOOKUP(B3,[1]Sheet1!$A$5:$F$42,4,0)</f>
        <v>71</v>
      </c>
      <c r="D3" s="17">
        <f>VLOOKUP(B3,[1]Sheet1!$A$5:$F$42,3,0)</f>
        <v>75</v>
      </c>
      <c r="E3" s="17">
        <f>VLOOKUP(B3,[1]Sheet1!$A$5:$F$42,2,0)</f>
        <v>75.5</v>
      </c>
      <c r="F3" s="17">
        <f>VLOOKUP(B3,[1]Sheet1!$A$5:$F$42,5,0)</f>
        <v>0.97</v>
      </c>
      <c r="G3" s="17">
        <f>VLOOKUP(B3,[1]Sheet1!$A$5:$F$42,6,0)</f>
        <v>73.317499999999995</v>
      </c>
      <c r="H3" s="18" t="s">
        <v>116</v>
      </c>
    </row>
    <row r="4" spans="1:8" ht="18">
      <c r="A4" s="1" t="s">
        <v>242</v>
      </c>
      <c r="B4" s="11" t="s">
        <v>237</v>
      </c>
      <c r="C4" s="17">
        <f>VLOOKUP(B4,[1]Sheet1!$A$5:$F$42,4,0)</f>
        <v>64</v>
      </c>
      <c r="D4" s="17">
        <f>VLOOKUP(B4,[1]Sheet1!$A$5:$F$42,3,0)</f>
        <v>73</v>
      </c>
      <c r="E4" s="17">
        <f>VLOOKUP(B4,[1]Sheet1!$A$5:$F$42,2,0)</f>
        <v>77</v>
      </c>
      <c r="F4" s="17">
        <f>VLOOKUP(B4,[1]Sheet1!$A$5:$F$42,5,0)</f>
        <v>0.97</v>
      </c>
      <c r="G4" s="17">
        <f>VLOOKUP(B4,[1]Sheet1!$A$5:$F$42,6,0)</f>
        <v>72.045000000000002</v>
      </c>
      <c r="H4" s="18" t="s">
        <v>121</v>
      </c>
    </row>
    <row r="5" spans="1:8" ht="18">
      <c r="A5" s="1" t="s">
        <v>243</v>
      </c>
      <c r="B5" s="11" t="s">
        <v>238</v>
      </c>
      <c r="C5" s="17">
        <f>VLOOKUP(B5,[1]Sheet1!$A$5:$F$42,4,0)</f>
        <v>53</v>
      </c>
      <c r="D5" s="17">
        <f>VLOOKUP(B5,[1]Sheet1!$A$5:$F$42,3,0)</f>
        <v>74.6666666666667</v>
      </c>
      <c r="E5" s="17">
        <f>VLOOKUP(B5,[1]Sheet1!$A$5:$F$42,2,0)</f>
        <v>76</v>
      </c>
      <c r="F5" s="17">
        <f>VLOOKUP(B5,[1]Sheet1!$A$5:$F$42,5,0)</f>
        <v>1</v>
      </c>
      <c r="G5" s="17">
        <f>VLOOKUP(B5,[1]Sheet1!$A$5:$F$42,6,0)</f>
        <v>71</v>
      </c>
      <c r="H5" s="18" t="s">
        <v>122</v>
      </c>
    </row>
    <row r="6" spans="1:8" ht="18">
      <c r="A6" s="1" t="s">
        <v>244</v>
      </c>
      <c r="B6" s="11" t="s">
        <v>207</v>
      </c>
      <c r="C6" s="17">
        <f>VLOOKUP(B6,[1]Sheet1!$A$5:$F$42,4,0)</f>
        <v>69</v>
      </c>
      <c r="D6" s="17">
        <f>VLOOKUP(B6,[1]Sheet1!$A$5:$F$42,3,0)</f>
        <v>79</v>
      </c>
      <c r="E6" s="17">
        <f>VLOOKUP(B6,[1]Sheet1!$A$5:$F$42,2,0)</f>
        <v>91</v>
      </c>
      <c r="F6" s="17">
        <f>VLOOKUP(B6,[1]Sheet1!$A$5:$F$42,5,0)</f>
        <v>1</v>
      </c>
      <c r="G6" s="17">
        <f>VLOOKUP(B6,[1]Sheet1!$A$5:$F$42,6,0)</f>
        <v>83</v>
      </c>
      <c r="H6" s="18" t="s">
        <v>91</v>
      </c>
    </row>
    <row r="7" spans="1:8" ht="18">
      <c r="A7" s="1" t="s">
        <v>245</v>
      </c>
      <c r="B7" s="11" t="s">
        <v>240</v>
      </c>
      <c r="C7" s="17">
        <f>VLOOKUP(B7,[1]Sheet1!$A$5:$F$42,4,0)</f>
        <v>66</v>
      </c>
      <c r="D7" s="20">
        <v>60</v>
      </c>
      <c r="E7" s="17">
        <f>VLOOKUP(B7,[1]Sheet1!$A$5:$F$42,2,0)</f>
        <v>79</v>
      </c>
      <c r="F7" s="17">
        <f>VLOOKUP(B7,[1]Sheet1!$A$5:$F$42,5,0)</f>
        <v>0.8</v>
      </c>
      <c r="G7" s="68">
        <f>44.8+18</f>
        <v>62.8</v>
      </c>
      <c r="H7" s="18" t="s">
        <v>124</v>
      </c>
    </row>
    <row r="8" spans="1:8" ht="18">
      <c r="A8" s="1" t="s">
        <v>246</v>
      </c>
      <c r="B8" s="11" t="s">
        <v>223</v>
      </c>
      <c r="C8" s="17">
        <f>VLOOKUP(B8,[1]Sheet1!$A$5:$F$42,4,0)</f>
        <v>67</v>
      </c>
      <c r="D8" s="17">
        <f>VLOOKUP(B8,[1]Sheet1!$A$5:$F$42,3,0)</f>
        <v>78.6666666666667</v>
      </c>
      <c r="E8" s="17">
        <f>VLOOKUP(B8,[1]Sheet1!$A$5:$F$42,2,0)</f>
        <v>78</v>
      </c>
      <c r="F8" s="17">
        <f>VLOOKUP(B8,[1]Sheet1!$A$5:$F$42,5,0)</f>
        <v>1</v>
      </c>
      <c r="G8" s="17">
        <f>VLOOKUP(B8,[1]Sheet1!$A$5:$F$42,6,0)</f>
        <v>76</v>
      </c>
      <c r="H8" s="18" t="s">
        <v>107</v>
      </c>
    </row>
    <row r="9" spans="1:8" ht="18">
      <c r="A9" s="1" t="s">
        <v>247</v>
      </c>
      <c r="B9" s="11" t="s">
        <v>236</v>
      </c>
      <c r="C9" s="17">
        <f>VLOOKUP(B9,[1]Sheet1!$A$5:$F$42,4,0)</f>
        <v>50</v>
      </c>
      <c r="D9" s="17">
        <f>VLOOKUP(B9,[1]Sheet1!$A$5:$F$42,3,0)</f>
        <v>76.3333333333333</v>
      </c>
      <c r="E9" s="17">
        <f>VLOOKUP(B9,[1]Sheet1!$A$5:$F$42,2,0)</f>
        <v>78.5</v>
      </c>
      <c r="F9" s="17">
        <f>VLOOKUP(B9,[1]Sheet1!$A$5:$F$42,5,0)</f>
        <v>1</v>
      </c>
      <c r="G9" s="17">
        <f>VLOOKUP(B9,[1]Sheet1!$A$5:$F$42,6,0)</f>
        <v>72.150000000000006</v>
      </c>
      <c r="H9" s="18" t="s">
        <v>120</v>
      </c>
    </row>
    <row r="10" spans="1:8" ht="18">
      <c r="A10" s="1" t="s">
        <v>248</v>
      </c>
      <c r="B10" s="11" t="s">
        <v>209</v>
      </c>
      <c r="C10" s="17">
        <f>VLOOKUP(B10,[1]Sheet1!$A$5:$F$42,4,0)</f>
        <v>66</v>
      </c>
      <c r="D10" s="17">
        <f>VLOOKUP(B10,[1]Sheet1!$A$5:$F$42,3,0)</f>
        <v>79</v>
      </c>
      <c r="E10" s="17">
        <f>VLOOKUP(B10,[1]Sheet1!$A$5:$F$42,2,0)</f>
        <v>91</v>
      </c>
      <c r="F10" s="17">
        <f>VLOOKUP(B10,[1]Sheet1!$A$5:$F$42,5,0)</f>
        <v>1</v>
      </c>
      <c r="G10" s="17">
        <f>VLOOKUP(B10,[1]Sheet1!$A$5:$F$42,6,0)</f>
        <v>82.4</v>
      </c>
      <c r="H10" s="18" t="s">
        <v>93</v>
      </c>
    </row>
    <row r="11" spans="1:8" ht="18">
      <c r="A11" s="1" t="s">
        <v>249</v>
      </c>
      <c r="B11" s="11" t="s">
        <v>225</v>
      </c>
      <c r="C11" s="17">
        <f>VLOOKUP(B11,[1]Sheet1!$A$5:$F$42,4,0)</f>
        <v>68</v>
      </c>
      <c r="D11" s="17">
        <f>VLOOKUP(B11,[1]Sheet1!$A$5:$F$42,3,0)</f>
        <v>75.3333333333333</v>
      </c>
      <c r="E11" s="17">
        <f>VLOOKUP(B11,[1]Sheet1!$A$5:$F$42,2,0)</f>
        <v>78.5</v>
      </c>
      <c r="F11" s="17">
        <f>VLOOKUP(B11,[1]Sheet1!$A$5:$F$42,5,0)</f>
        <v>1</v>
      </c>
      <c r="G11" s="17">
        <f>VLOOKUP(B11,[1]Sheet1!$A$5:$F$42,6,0)</f>
        <v>75.45</v>
      </c>
      <c r="H11" s="18" t="s">
        <v>109</v>
      </c>
    </row>
    <row r="12" spans="1:8" ht="18">
      <c r="A12" s="1" t="s">
        <v>250</v>
      </c>
      <c r="B12" s="11" t="s">
        <v>231</v>
      </c>
      <c r="C12" s="17">
        <f>VLOOKUP(B12,[1]Sheet1!$A$5:$F$42,4,0)</f>
        <v>64</v>
      </c>
      <c r="D12" s="17">
        <f>VLOOKUP(B12,[1]Sheet1!$A$5:$F$42,3,0)</f>
        <v>76.3333333333333</v>
      </c>
      <c r="E12" s="17">
        <f>VLOOKUP(B12,[1]Sheet1!$A$5:$F$42,2,0)</f>
        <v>76</v>
      </c>
      <c r="F12" s="17">
        <f>VLOOKUP(B12,[1]Sheet1!$A$5:$F$42,5,0)</f>
        <v>1</v>
      </c>
      <c r="G12" s="17">
        <f>VLOOKUP(B12,[1]Sheet1!$A$5:$F$42,6,0)</f>
        <v>73.7</v>
      </c>
      <c r="H12" s="18" t="s">
        <v>115</v>
      </c>
    </row>
    <row r="13" spans="1:8" ht="18">
      <c r="A13" s="1" t="s">
        <v>251</v>
      </c>
      <c r="B13" s="11" t="s">
        <v>239</v>
      </c>
      <c r="C13" s="17">
        <f>VLOOKUP(B13,[1]Sheet1!$A$5:$F$42,4,0)</f>
        <v>55</v>
      </c>
      <c r="D13" s="17">
        <f>VLOOKUP(B13,[1]Sheet1!$A$5:$F$42,3,0)</f>
        <v>74.3333333333333</v>
      </c>
      <c r="E13" s="17">
        <f>VLOOKUP(B13,[1]Sheet1!$A$5:$F$42,2,0)</f>
        <v>74</v>
      </c>
      <c r="F13" s="17">
        <f>VLOOKUP(B13,[1]Sheet1!$A$5:$F$42,5,0)</f>
        <v>1</v>
      </c>
      <c r="G13" s="17">
        <f>VLOOKUP(B13,[1]Sheet1!$A$5:$F$42,6,0)</f>
        <v>70.3</v>
      </c>
      <c r="H13" s="18" t="s">
        <v>123</v>
      </c>
    </row>
    <row r="14" spans="1:8" ht="18">
      <c r="A14" s="1" t="s">
        <v>252</v>
      </c>
      <c r="B14" s="11" t="s">
        <v>226</v>
      </c>
      <c r="C14" s="17">
        <f>VLOOKUP(B14,[1]Sheet1!$A$5:$F$42,4,0)</f>
        <v>66</v>
      </c>
      <c r="D14" s="17">
        <f>VLOOKUP(B14,[1]Sheet1!$A$5:$F$42,3,0)</f>
        <v>79</v>
      </c>
      <c r="E14" s="17">
        <f>VLOOKUP(B14,[1]Sheet1!$A$5:$F$42,2,0)</f>
        <v>77</v>
      </c>
      <c r="F14" s="17">
        <f>VLOOKUP(B14,[1]Sheet1!$A$5:$F$42,5,0)</f>
        <v>1</v>
      </c>
      <c r="G14" s="17">
        <f>VLOOKUP(B14,[1]Sheet1!$A$5:$F$42,6,0)</f>
        <v>75.400000000000006</v>
      </c>
      <c r="H14" s="18" t="s">
        <v>110</v>
      </c>
    </row>
    <row r="15" spans="1:8" ht="18">
      <c r="A15" s="1" t="s">
        <v>253</v>
      </c>
      <c r="B15" s="11" t="s">
        <v>214</v>
      </c>
      <c r="C15" s="17">
        <f>VLOOKUP(B15,[1]Sheet1!$A$5:$F$42,4,0)</f>
        <v>77</v>
      </c>
      <c r="D15" s="17">
        <f>VLOOKUP(B15,[1]Sheet1!$A$5:$F$42,3,0)</f>
        <v>82.3333333333333</v>
      </c>
      <c r="E15" s="17">
        <f>VLOOKUP(B15,[1]Sheet1!$A$5:$F$42,2,0)</f>
        <v>79</v>
      </c>
      <c r="F15" s="17">
        <f>VLOOKUP(B15,[1]Sheet1!$A$5:$F$42,5,0)</f>
        <v>1</v>
      </c>
      <c r="G15" s="17">
        <f>VLOOKUP(B15,[1]Sheet1!$A$5:$F$42,6,0)</f>
        <v>79.599999999999994</v>
      </c>
      <c r="H15" s="18" t="s">
        <v>98</v>
      </c>
    </row>
    <row r="16" spans="1:8" ht="18">
      <c r="A16" s="1" t="s">
        <v>254</v>
      </c>
      <c r="B16" s="11" t="s">
        <v>219</v>
      </c>
      <c r="C16" s="17">
        <f>VLOOKUP(B16,[1]Sheet1!$A$5:$F$42,4,0)</f>
        <v>70</v>
      </c>
      <c r="D16" s="17">
        <f>VLOOKUP(B16,[1]Sheet1!$A$5:$F$42,3,0)</f>
        <v>79</v>
      </c>
      <c r="E16" s="17">
        <f>VLOOKUP(B16,[1]Sheet1!$A$5:$F$42,2,0)</f>
        <v>80</v>
      </c>
      <c r="F16" s="17">
        <f>VLOOKUP(B16,[1]Sheet1!$A$5:$F$42,5,0)</f>
        <v>1</v>
      </c>
      <c r="G16" s="17">
        <f>VLOOKUP(B16,[1]Sheet1!$A$5:$F$42,6,0)</f>
        <v>77.7</v>
      </c>
      <c r="H16" s="18" t="s">
        <v>103</v>
      </c>
    </row>
    <row r="17" spans="1:8" ht="18">
      <c r="A17" s="1" t="s">
        <v>255</v>
      </c>
      <c r="B17" s="11" t="s">
        <v>228</v>
      </c>
      <c r="C17" s="17">
        <f>VLOOKUP(B17,[1]Sheet1!$A$5:$F$42,4,0)</f>
        <v>66</v>
      </c>
      <c r="D17" s="17">
        <f>VLOOKUP(B17,[1]Sheet1!$A$5:$F$42,3,0)</f>
        <v>81</v>
      </c>
      <c r="E17" s="17">
        <f>VLOOKUP(B17,[1]Sheet1!$A$5:$F$42,2,0)</f>
        <v>76.5</v>
      </c>
      <c r="F17" s="17">
        <f>VLOOKUP(B17,[1]Sheet1!$A$5:$F$42,5,0)</f>
        <v>0.98</v>
      </c>
      <c r="G17" s="17">
        <f>VLOOKUP(B17,[1]Sheet1!$A$5:$F$42,6,0)</f>
        <v>74.984999999999999</v>
      </c>
      <c r="H17" s="18" t="s">
        <v>112</v>
      </c>
    </row>
    <row r="18" spans="1:8" ht="18">
      <c r="A18" s="1" t="s">
        <v>256</v>
      </c>
      <c r="B18" s="11" t="s">
        <v>234</v>
      </c>
      <c r="C18" s="17">
        <f>VLOOKUP(B18,[1]Sheet1!$A$5:$F$42,4,0)</f>
        <v>71</v>
      </c>
      <c r="D18" s="17">
        <f>VLOOKUP(B18,[1]Sheet1!$A$5:$F$42,3,0)</f>
        <v>78</v>
      </c>
      <c r="E18" s="17">
        <f>VLOOKUP(B18,[1]Sheet1!$A$5:$F$42,2,0)</f>
        <v>72</v>
      </c>
      <c r="F18" s="17">
        <f>VLOOKUP(B18,[1]Sheet1!$A$5:$F$42,5,0)</f>
        <v>0.98</v>
      </c>
      <c r="G18" s="17">
        <f>VLOOKUP(B18,[1]Sheet1!$A$5:$F$42,6,0)</f>
        <v>72.88</v>
      </c>
      <c r="H18" s="18" t="s">
        <v>118</v>
      </c>
    </row>
    <row r="19" spans="1:8" ht="18">
      <c r="A19" s="1" t="s">
        <v>257</v>
      </c>
      <c r="B19" s="11" t="s">
        <v>211</v>
      </c>
      <c r="C19" s="17">
        <f>VLOOKUP(B19,[1]Sheet1!$A$5:$F$42,4,0)</f>
        <v>65</v>
      </c>
      <c r="D19" s="17">
        <f>VLOOKUP(B19,[1]Sheet1!$A$5:$F$42,3,0)</f>
        <v>77.6666666666667</v>
      </c>
      <c r="E19" s="17">
        <f>VLOOKUP(B19,[1]Sheet1!$A$5:$F$42,2,0)</f>
        <v>89</v>
      </c>
      <c r="F19" s="17">
        <f>VLOOKUP(B19,[1]Sheet1!$A$5:$F$42,5,0)</f>
        <v>1</v>
      </c>
      <c r="G19" s="17">
        <f>VLOOKUP(B19,[1]Sheet1!$A$5:$F$42,6,0)</f>
        <v>80.8</v>
      </c>
      <c r="H19" s="18" t="s">
        <v>95</v>
      </c>
    </row>
    <row r="20" spans="1:8" ht="18">
      <c r="A20" s="1" t="s">
        <v>258</v>
      </c>
      <c r="B20" s="11" t="s">
        <v>233</v>
      </c>
      <c r="C20" s="17">
        <f>VLOOKUP(B20,[1]Sheet1!$A$5:$F$42,4,0)</f>
        <v>65</v>
      </c>
      <c r="D20" s="17">
        <f>VLOOKUP(B20,[1]Sheet1!$A$5:$F$42,3,0)</f>
        <v>74.3333333333333</v>
      </c>
      <c r="E20" s="17">
        <f>VLOOKUP(B20,[1]Sheet1!$A$5:$F$42,2,0)</f>
        <v>75.5</v>
      </c>
      <c r="F20" s="17">
        <f>VLOOKUP(B20,[1]Sheet1!$A$5:$F$42,5,0)</f>
        <v>1</v>
      </c>
      <c r="G20" s="17">
        <f>VLOOKUP(B20,[1]Sheet1!$A$5:$F$42,6,0)</f>
        <v>73.05</v>
      </c>
      <c r="H20" s="18" t="s">
        <v>117</v>
      </c>
    </row>
    <row r="21" spans="1:8" ht="18">
      <c r="A21" s="1" t="s">
        <v>259</v>
      </c>
      <c r="B21" s="11" t="s">
        <v>215</v>
      </c>
      <c r="C21" s="17">
        <f>VLOOKUP(B21,[1]Sheet1!$A$5:$F$42,4,0)</f>
        <v>63</v>
      </c>
      <c r="D21" s="17">
        <f>VLOOKUP(B21,[1]Sheet1!$A$5:$F$42,3,0)</f>
        <v>77.3333333333333</v>
      </c>
      <c r="E21" s="17">
        <f>VLOOKUP(B21,[1]Sheet1!$A$5:$F$42,2,0)</f>
        <v>86</v>
      </c>
      <c r="F21" s="17">
        <f>VLOOKUP(B21,[1]Sheet1!$A$5:$F$42,5,0)</f>
        <v>1</v>
      </c>
      <c r="G21" s="17">
        <f>VLOOKUP(B21,[1]Sheet1!$A$5:$F$42,6,0)</f>
        <v>78.8</v>
      </c>
      <c r="H21" s="18" t="s">
        <v>99</v>
      </c>
    </row>
    <row r="22" spans="1:8" ht="18">
      <c r="A22" s="1" t="s">
        <v>260</v>
      </c>
      <c r="B22" s="11" t="s">
        <v>227</v>
      </c>
      <c r="C22" s="17">
        <f>VLOOKUP(B22,[1]Sheet1!$A$5:$F$42,4,0)</f>
        <v>73</v>
      </c>
      <c r="D22" s="17">
        <f>VLOOKUP(B22,[1]Sheet1!$A$5:$F$42,3,0)</f>
        <v>76.3333333333333</v>
      </c>
      <c r="E22" s="17">
        <f>VLOOKUP(B22,[1]Sheet1!$A$5:$F$42,2,0)</f>
        <v>75.5</v>
      </c>
      <c r="F22" s="17">
        <f>VLOOKUP(B22,[1]Sheet1!$A$5:$F$42,5,0)</f>
        <v>1</v>
      </c>
      <c r="G22" s="17">
        <f>VLOOKUP(B22,[1]Sheet1!$A$5:$F$42,6,0)</f>
        <v>75.25</v>
      </c>
      <c r="H22" s="18" t="s">
        <v>111</v>
      </c>
    </row>
    <row r="23" spans="1:8" ht="18">
      <c r="A23" s="1" t="s">
        <v>261</v>
      </c>
      <c r="B23" s="11" t="s">
        <v>229</v>
      </c>
      <c r="C23" s="17">
        <f>VLOOKUP(B23,[1]Sheet1!$A$5:$F$42,4,0)</f>
        <v>68</v>
      </c>
      <c r="D23" s="17">
        <f>VLOOKUP(B23,[1]Sheet1!$A$5:$F$42,3,0)</f>
        <v>77</v>
      </c>
      <c r="E23" s="17">
        <f>VLOOKUP(B23,[1]Sheet1!$A$5:$F$42,2,0)</f>
        <v>75.5</v>
      </c>
      <c r="F23" s="17">
        <f>VLOOKUP(B23,[1]Sheet1!$A$5:$F$42,5,0)</f>
        <v>1</v>
      </c>
      <c r="G23" s="17">
        <f>VLOOKUP(B23,[1]Sheet1!$A$5:$F$42,6,0)</f>
        <v>74.45</v>
      </c>
      <c r="H23" s="18" t="s">
        <v>113</v>
      </c>
    </row>
    <row r="24" spans="1:8" ht="18">
      <c r="A24" s="1" t="s">
        <v>262</v>
      </c>
      <c r="B24" s="11" t="s">
        <v>222</v>
      </c>
      <c r="C24" s="17">
        <f>VLOOKUP(B24,[1]Sheet1!$A$5:$F$42,4,0)</f>
        <v>60</v>
      </c>
      <c r="D24" s="17">
        <f>VLOOKUP(B24,[1]Sheet1!$A$5:$F$42,3,0)</f>
        <v>83</v>
      </c>
      <c r="E24" s="17">
        <f>VLOOKUP(B24,[1]Sheet1!$A$5:$F$42,2,0)</f>
        <v>78.5</v>
      </c>
      <c r="F24" s="17">
        <f>VLOOKUP(B24,[1]Sheet1!$A$5:$F$42,5,0)</f>
        <v>1</v>
      </c>
      <c r="G24" s="17">
        <f>VLOOKUP(B24,[1]Sheet1!$A$5:$F$42,6,0)</f>
        <v>76.150000000000006</v>
      </c>
      <c r="H24" s="18" t="s">
        <v>106</v>
      </c>
    </row>
    <row r="25" spans="1:8" ht="18">
      <c r="A25" s="1" t="s">
        <v>263</v>
      </c>
      <c r="B25" s="11" t="s">
        <v>208</v>
      </c>
      <c r="C25" s="17">
        <f>VLOOKUP(B25,[1]Sheet1!$A$5:$F$42,4,0)</f>
        <v>70</v>
      </c>
      <c r="D25" s="17">
        <f>VLOOKUP(B25,[1]Sheet1!$A$5:$F$42,3,0)</f>
        <v>81</v>
      </c>
      <c r="E25" s="17">
        <f>VLOOKUP(B25,[1]Sheet1!$A$5:$F$42,2,0)</f>
        <v>88.5</v>
      </c>
      <c r="F25" s="17">
        <f>VLOOKUP(B25,[1]Sheet1!$A$5:$F$42,5,0)</f>
        <v>1</v>
      </c>
      <c r="G25" s="17">
        <f>VLOOKUP(B25,[1]Sheet1!$A$5:$F$42,6,0)</f>
        <v>82.55</v>
      </c>
      <c r="H25" s="18" t="s">
        <v>92</v>
      </c>
    </row>
    <row r="26" spans="1:8" ht="18">
      <c r="A26" s="1" t="s">
        <v>264</v>
      </c>
      <c r="B26" s="11" t="s">
        <v>206</v>
      </c>
      <c r="C26" s="17">
        <f>VLOOKUP(B26,[1]Sheet1!$A$5:$F$42,4,0)</f>
        <v>74</v>
      </c>
      <c r="D26" s="17">
        <f>VLOOKUP(B26,[1]Sheet1!$A$5:$F$42,3,0)</f>
        <v>88</v>
      </c>
      <c r="E26" s="17">
        <f>VLOOKUP(B26,[1]Sheet1!$A$5:$F$42,2,0)</f>
        <v>86.5</v>
      </c>
      <c r="F26" s="17">
        <f>VLOOKUP(B26,[1]Sheet1!$A$5:$F$42,5,0)</f>
        <v>0.97</v>
      </c>
      <c r="G26" s="17">
        <f>VLOOKUP(B26,[1]Sheet1!$A$5:$F$42,6,0)</f>
        <v>83.152500000000003</v>
      </c>
      <c r="H26" s="18" t="s">
        <v>90</v>
      </c>
    </row>
    <row r="27" spans="1:8" ht="18">
      <c r="A27" s="1" t="s">
        <v>265</v>
      </c>
      <c r="B27" s="11" t="s">
        <v>235</v>
      </c>
      <c r="C27" s="17">
        <f>VLOOKUP(B27,[1]Sheet1!$A$5:$F$42,4,0)</f>
        <v>68</v>
      </c>
      <c r="D27" s="17">
        <f>VLOOKUP(B27,[1]Sheet1!$A$5:$F$42,3,0)</f>
        <v>74</v>
      </c>
      <c r="E27" s="17">
        <f>VLOOKUP(B27,[1]Sheet1!$A$5:$F$42,2,0)</f>
        <v>78.5</v>
      </c>
      <c r="F27" s="17">
        <f>VLOOKUP(B27,[1]Sheet1!$A$5:$F$42,5,0)</f>
        <v>0.94</v>
      </c>
      <c r="G27" s="17">
        <f>VLOOKUP(B27,[1]Sheet1!$A$5:$F$42,6,0)</f>
        <v>72.694999999999993</v>
      </c>
      <c r="H27" s="18" t="s">
        <v>119</v>
      </c>
    </row>
    <row r="28" spans="1:8" ht="18">
      <c r="A28" s="1" t="s">
        <v>266</v>
      </c>
      <c r="B28" s="11" t="s">
        <v>230</v>
      </c>
      <c r="C28" s="17">
        <f>VLOOKUP(B28,[1]Sheet1!$A$5:$F$42,4,0)</f>
        <v>66</v>
      </c>
      <c r="D28" s="17">
        <f>VLOOKUP(B28,[1]Sheet1!$A$5:$F$42,3,0)</f>
        <v>74.6666666666667</v>
      </c>
      <c r="E28" s="17">
        <f>VLOOKUP(B28,[1]Sheet1!$A$5:$F$42,2,0)</f>
        <v>77.5</v>
      </c>
      <c r="F28" s="17">
        <f>VLOOKUP(B28,[1]Sheet1!$A$5:$F$42,5,0)</f>
        <v>1</v>
      </c>
      <c r="G28" s="17">
        <f>VLOOKUP(B28,[1]Sheet1!$A$5:$F$42,6,0)</f>
        <v>74.349999999999994</v>
      </c>
      <c r="H28" s="18" t="s">
        <v>114</v>
      </c>
    </row>
    <row r="29" spans="1:8" ht="18">
      <c r="A29" s="1" t="s">
        <v>267</v>
      </c>
      <c r="B29" s="11" t="s">
        <v>218</v>
      </c>
      <c r="C29" s="17">
        <f>VLOOKUP(B29,[1]Sheet1!$A$5:$F$42,4,0)</f>
        <v>72</v>
      </c>
      <c r="D29" s="17">
        <f>VLOOKUP(B29,[1]Sheet1!$A$5:$F$42,3,0)</f>
        <v>80.6666666666667</v>
      </c>
      <c r="E29" s="17">
        <f>VLOOKUP(B29,[1]Sheet1!$A$5:$F$42,2,0)</f>
        <v>78.5</v>
      </c>
      <c r="F29" s="17">
        <f>VLOOKUP(B29,[1]Sheet1!$A$5:$F$42,5,0)</f>
        <v>1</v>
      </c>
      <c r="G29" s="17">
        <f>VLOOKUP(B29,[1]Sheet1!$A$5:$F$42,6,0)</f>
        <v>77.849999999999994</v>
      </c>
      <c r="H29" s="18" t="s">
        <v>102</v>
      </c>
    </row>
    <row r="30" spans="1:8" ht="18">
      <c r="A30" s="1" t="s">
        <v>268</v>
      </c>
      <c r="B30" s="11" t="s">
        <v>212</v>
      </c>
      <c r="C30" s="17">
        <f>VLOOKUP(B30,[1]Sheet1!$A$5:$F$42,4,0)</f>
        <v>70</v>
      </c>
      <c r="D30" s="17">
        <f>VLOOKUP(B30,[1]Sheet1!$A$5:$F$42,3,0)</f>
        <v>82.3333333333333</v>
      </c>
      <c r="E30" s="17">
        <f>VLOOKUP(B30,[1]Sheet1!$A$5:$F$42,2,0)</f>
        <v>85</v>
      </c>
      <c r="F30" s="17">
        <f>VLOOKUP(B30,[1]Sheet1!$A$5:$F$42,5,0)</f>
        <v>0.99</v>
      </c>
      <c r="G30" s="17">
        <f>VLOOKUP(B30,[1]Sheet1!$A$5:$F$42,6,0)</f>
        <v>80.775000000000006</v>
      </c>
      <c r="H30" s="18" t="s">
        <v>96</v>
      </c>
    </row>
    <row r="31" spans="1:8" ht="18">
      <c r="A31" s="1" t="s">
        <v>269</v>
      </c>
      <c r="B31" s="11" t="s">
        <v>220</v>
      </c>
      <c r="C31" s="17">
        <f>VLOOKUP(B31,[1]Sheet1!$A$5:$F$42,4,0)</f>
        <v>74</v>
      </c>
      <c r="D31" s="17">
        <f>VLOOKUP(B31,[1]Sheet1!$A$5:$F$42,3,0)</f>
        <v>78</v>
      </c>
      <c r="E31" s="17">
        <f>VLOOKUP(B31,[1]Sheet1!$A$5:$F$42,2,0)</f>
        <v>79</v>
      </c>
      <c r="F31" s="17">
        <f>VLOOKUP(B31,[1]Sheet1!$A$5:$F$42,5,0)</f>
        <v>1</v>
      </c>
      <c r="G31" s="17">
        <f>VLOOKUP(B31,[1]Sheet1!$A$5:$F$42,6,0)</f>
        <v>77.7</v>
      </c>
      <c r="H31" s="18" t="s">
        <v>104</v>
      </c>
    </row>
    <row r="32" spans="1:8" ht="18">
      <c r="A32" s="1" t="s">
        <v>270</v>
      </c>
      <c r="B32" s="11" t="s">
        <v>210</v>
      </c>
      <c r="C32" s="17">
        <f>VLOOKUP(B32,[1]Sheet1!$A$5:$F$42,4,0)</f>
        <v>70</v>
      </c>
      <c r="D32" s="17">
        <f>VLOOKUP(B32,[1]Sheet1!$A$5:$F$42,3,0)</f>
        <v>85.3333333333333</v>
      </c>
      <c r="E32" s="17">
        <f>VLOOKUP(B32,[1]Sheet1!$A$5:$F$42,2,0)</f>
        <v>89</v>
      </c>
      <c r="F32" s="17">
        <f>VLOOKUP(B32,[1]Sheet1!$A$5:$F$42,5,0)</f>
        <v>0.94</v>
      </c>
      <c r="G32" s="17">
        <f>VLOOKUP(B32,[1]Sheet1!$A$5:$F$42,6,0)</f>
        <v>81.430000000000007</v>
      </c>
      <c r="H32" s="18" t="s">
        <v>94</v>
      </c>
    </row>
    <row r="33" spans="1:8" ht="18">
      <c r="A33" s="1" t="s">
        <v>271</v>
      </c>
      <c r="B33" s="11" t="s">
        <v>205</v>
      </c>
      <c r="C33" s="17">
        <f>VLOOKUP(B33,[1]Sheet1!$A$5:$F$42,4,0)</f>
        <v>70</v>
      </c>
      <c r="D33" s="17">
        <f>VLOOKUP(B33,[1]Sheet1!$A$5:$F$42,3,0)</f>
        <v>79.6666666666667</v>
      </c>
      <c r="E33" s="17">
        <f>VLOOKUP(B33,[1]Sheet1!$A$5:$F$42,2,0)</f>
        <v>91</v>
      </c>
      <c r="F33" s="17">
        <f>VLOOKUP(B33,[1]Sheet1!$A$5:$F$42,5,0)</f>
        <v>1</v>
      </c>
      <c r="G33" s="17">
        <f>VLOOKUP(B33,[1]Sheet1!$A$5:$F$42,6,0)</f>
        <v>83.4</v>
      </c>
      <c r="H33" s="18" t="s">
        <v>89</v>
      </c>
    </row>
    <row r="34" spans="1:8" ht="18">
      <c r="A34" s="1" t="s">
        <v>272</v>
      </c>
      <c r="B34" s="11" t="s">
        <v>203</v>
      </c>
      <c r="C34" s="17">
        <f>VLOOKUP(B34,[1]Sheet1!$A$5:$F$42,4,0)</f>
        <v>70</v>
      </c>
      <c r="D34" s="17">
        <f>VLOOKUP(B34,[1]Sheet1!$A$5:$F$42,3,0)</f>
        <v>83.6666666666667</v>
      </c>
      <c r="E34" s="17">
        <f>VLOOKUP(B34,[1]Sheet1!$A$5:$F$42,2,0)</f>
        <v>93</v>
      </c>
      <c r="F34" s="17">
        <f>VLOOKUP(B34,[1]Sheet1!$A$5:$F$42,5,0)</f>
        <v>1</v>
      </c>
      <c r="G34" s="17">
        <f>VLOOKUP(B34,[1]Sheet1!$A$5:$F$42,6,0)</f>
        <v>85.6</v>
      </c>
      <c r="H34" s="18" t="s">
        <v>87</v>
      </c>
    </row>
    <row r="35" spans="1:8" ht="18">
      <c r="A35" s="1" t="s">
        <v>273</v>
      </c>
      <c r="B35" s="11" t="s">
        <v>204</v>
      </c>
      <c r="C35" s="17">
        <f>VLOOKUP(B35,[1]Sheet1!$A$5:$F$42,4,0)</f>
        <v>64</v>
      </c>
      <c r="D35" s="17">
        <f>VLOOKUP(B35,[1]Sheet1!$A$5:$F$42,3,0)</f>
        <v>85.3333333333333</v>
      </c>
      <c r="E35" s="17">
        <f>VLOOKUP(B35,[1]Sheet1!$A$5:$F$42,2,0)</f>
        <v>90.5</v>
      </c>
      <c r="F35" s="17">
        <f>VLOOKUP(B35,[1]Sheet1!$A$5:$F$42,5,0)</f>
        <v>1</v>
      </c>
      <c r="G35" s="17">
        <f>VLOOKUP(B35,[1]Sheet1!$A$5:$F$42,6,0)</f>
        <v>83.65</v>
      </c>
      <c r="H35" s="18" t="s">
        <v>88</v>
      </c>
    </row>
    <row r="36" spans="1:8" ht="18">
      <c r="A36" s="1" t="s">
        <v>274</v>
      </c>
      <c r="B36" s="11" t="s">
        <v>213</v>
      </c>
      <c r="C36" s="17">
        <f>VLOOKUP(B36,[1]Sheet1!$A$5:$F$42,4,0)</f>
        <v>64</v>
      </c>
      <c r="D36" s="17">
        <f>VLOOKUP(B36,[1]Sheet1!$A$5:$F$42,3,0)</f>
        <v>80.3333333333333</v>
      </c>
      <c r="E36" s="17">
        <f>VLOOKUP(B36,[1]Sheet1!$A$5:$F$42,2,0)</f>
        <v>87</v>
      </c>
      <c r="F36" s="17">
        <f>VLOOKUP(B36,[1]Sheet1!$A$5:$F$42,5,0)</f>
        <v>1</v>
      </c>
      <c r="G36" s="17">
        <f>VLOOKUP(B36,[1]Sheet1!$A$5:$F$42,6,0)</f>
        <v>80.400000000000006</v>
      </c>
      <c r="H36" s="18" t="s">
        <v>97</v>
      </c>
    </row>
    <row r="37" spans="1:8" ht="18">
      <c r="A37" s="1" t="s">
        <v>275</v>
      </c>
      <c r="B37" s="11" t="s">
        <v>224</v>
      </c>
      <c r="C37" s="17">
        <f>VLOOKUP(B37,[1]Sheet1!$A$5:$F$42,4,0)</f>
        <v>60</v>
      </c>
      <c r="D37" s="17">
        <f>VLOOKUP(B37,[1]Sheet1!$A$5:$F$42,3,0)</f>
        <v>81</v>
      </c>
      <c r="E37" s="17">
        <f>VLOOKUP(B37,[1]Sheet1!$A$5:$F$42,2,0)</f>
        <v>78.5</v>
      </c>
      <c r="F37" s="17">
        <f>VLOOKUP(B37,[1]Sheet1!$A$5:$F$42,5,0)</f>
        <v>1</v>
      </c>
      <c r="G37" s="17">
        <f>VLOOKUP(B37,[1]Sheet1!$A$5:$F$42,6,0)</f>
        <v>75.55</v>
      </c>
      <c r="H37" s="18" t="s">
        <v>108</v>
      </c>
    </row>
    <row r="38" spans="1:8" ht="18">
      <c r="A38" s="1" t="s">
        <v>276</v>
      </c>
      <c r="B38" s="11" t="s">
        <v>221</v>
      </c>
      <c r="C38" s="17">
        <f>VLOOKUP(B38,[1]Sheet1!$A$5:$F$42,4,0)</f>
        <v>70</v>
      </c>
      <c r="D38" s="17">
        <f>VLOOKUP(B38,[1]Sheet1!$A$5:$F$42,3,0)</f>
        <v>76.6666666666667</v>
      </c>
      <c r="E38" s="17">
        <f>VLOOKUP(B38,[1]Sheet1!$A$5:$F$42,2,0)</f>
        <v>78.5</v>
      </c>
      <c r="F38" s="17">
        <f>VLOOKUP(B38,[1]Sheet1!$A$5:$F$42,5,0)</f>
        <v>1</v>
      </c>
      <c r="G38" s="17">
        <f>VLOOKUP(B38,[1]Sheet1!$A$5:$F$42,6,0)</f>
        <v>76.25</v>
      </c>
      <c r="H38" s="18" t="s">
        <v>105</v>
      </c>
    </row>
    <row r="39" spans="1:8" ht="18">
      <c r="A39" s="1" t="s">
        <v>277</v>
      </c>
      <c r="B39" s="11" t="s">
        <v>217</v>
      </c>
      <c r="C39" s="17">
        <f>VLOOKUP(B39,[1]Sheet1!$A$5:$F$42,4,0)</f>
        <v>74</v>
      </c>
      <c r="D39" s="17">
        <f>VLOOKUP(B39,[1]Sheet1!$A$5:$F$42,3,0)</f>
        <v>80.3333333333333</v>
      </c>
      <c r="E39" s="17">
        <f>VLOOKUP(B39,[1]Sheet1!$A$5:$F$42,2,0)</f>
        <v>78</v>
      </c>
      <c r="F39" s="17">
        <f>VLOOKUP(B39,[1]Sheet1!$A$5:$F$42,5,0)</f>
        <v>1</v>
      </c>
      <c r="G39" s="17">
        <f>VLOOKUP(B39,[1]Sheet1!$A$5:$F$42,6,0)</f>
        <v>77.900000000000006</v>
      </c>
      <c r="H39" s="18" t="s">
        <v>101</v>
      </c>
    </row>
    <row r="40" spans="1:8" ht="18">
      <c r="A40" s="1" t="s">
        <v>278</v>
      </c>
      <c r="B40" s="11" t="s">
        <v>216</v>
      </c>
      <c r="C40" s="17">
        <f>VLOOKUP(B40,[1]Sheet1!$A$5:$F$42,4,0)</f>
        <v>72</v>
      </c>
      <c r="D40" s="17">
        <f>VLOOKUP(B40,[1]Sheet1!$A$5:$F$42,3,0)</f>
        <v>80.3333333333333</v>
      </c>
      <c r="E40" s="17">
        <f>VLOOKUP(B40,[1]Sheet1!$A$5:$F$42,2,0)</f>
        <v>80</v>
      </c>
      <c r="F40" s="17">
        <f>VLOOKUP(B40,[1]Sheet1!$A$5:$F$42,5,0)</f>
        <v>1</v>
      </c>
      <c r="G40" s="17">
        <f>VLOOKUP(B40,[1]Sheet1!$A$5:$F$42,6,0)</f>
        <v>78.5</v>
      </c>
      <c r="H40" s="18" t="s">
        <v>100</v>
      </c>
    </row>
  </sheetData>
  <sortState xmlns:xlrd2="http://schemas.microsoft.com/office/spreadsheetml/2017/richdata2" ref="A3:H43">
    <sortCondition ref="A2:A43"/>
  </sortState>
  <mergeCells count="1">
    <mergeCell ref="A1:H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626F3-5AFF-3645-9CB0-3233062200F2}">
  <dimension ref="A1:H40"/>
  <sheetViews>
    <sheetView zoomScale="75" workbookViewId="0">
      <selection activeCell="F31" sqref="F31"/>
    </sheetView>
  </sheetViews>
  <sheetFormatPr baseColWidth="10" defaultRowHeight="16"/>
  <cols>
    <col min="1" max="8" width="20.83203125" customWidth="1"/>
  </cols>
  <sheetData>
    <row r="1" spans="1:8" ht="24" customHeight="1">
      <c r="A1" s="49" t="s">
        <v>279</v>
      </c>
      <c r="B1" s="50"/>
      <c r="C1" s="50"/>
      <c r="D1" s="50"/>
      <c r="E1" s="50"/>
      <c r="F1" s="50"/>
      <c r="G1" s="50"/>
      <c r="H1" s="51"/>
    </row>
    <row r="2" spans="1:8" ht="24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2" t="s">
        <v>6</v>
      </c>
      <c r="H2" s="8" t="s">
        <v>7</v>
      </c>
    </row>
    <row r="3" spans="1:8" ht="18">
      <c r="A3" s="11" t="s">
        <v>318</v>
      </c>
      <c r="B3" s="11" t="s">
        <v>280</v>
      </c>
      <c r="C3" s="26">
        <v>88.317608663278506</v>
      </c>
      <c r="D3" s="17">
        <v>84.3</v>
      </c>
      <c r="E3" s="17">
        <v>91</v>
      </c>
      <c r="F3" s="17">
        <v>1</v>
      </c>
      <c r="G3" s="17">
        <v>88.453521732655702</v>
      </c>
      <c r="H3" s="18" t="s">
        <v>91</v>
      </c>
    </row>
    <row r="4" spans="1:8" ht="18">
      <c r="A4" s="11" t="s">
        <v>319</v>
      </c>
      <c r="B4" s="11" t="s">
        <v>281</v>
      </c>
      <c r="C4" s="26">
        <v>81.240384046359594</v>
      </c>
      <c r="D4" s="17">
        <v>84.3</v>
      </c>
      <c r="E4" s="17">
        <v>82</v>
      </c>
      <c r="F4" s="17">
        <v>1</v>
      </c>
      <c r="G4" s="17">
        <v>82.538076809271914</v>
      </c>
      <c r="H4" s="18" t="s">
        <v>108</v>
      </c>
    </row>
    <row r="5" spans="1:8" ht="18">
      <c r="A5" s="11" t="s">
        <v>320</v>
      </c>
      <c r="B5" s="11" t="s">
        <v>282</v>
      </c>
      <c r="C5" s="26">
        <v>84.852813742385706</v>
      </c>
      <c r="D5" s="17">
        <v>87.7</v>
      </c>
      <c r="E5" s="17">
        <v>87</v>
      </c>
      <c r="F5" s="17">
        <v>1</v>
      </c>
      <c r="G5" s="17">
        <v>86.780562748477138</v>
      </c>
      <c r="H5" s="18" t="s">
        <v>98</v>
      </c>
    </row>
    <row r="6" spans="1:8" ht="18">
      <c r="A6" s="11" t="s">
        <v>321</v>
      </c>
      <c r="B6" s="11" t="s">
        <v>283</v>
      </c>
      <c r="C6" s="26">
        <v>81.240384046359594</v>
      </c>
      <c r="D6" s="17">
        <v>86</v>
      </c>
      <c r="E6" s="17">
        <v>87</v>
      </c>
      <c r="F6" s="17">
        <v>1</v>
      </c>
      <c r="G6" s="17">
        <v>85.548076809271919</v>
      </c>
      <c r="H6" s="18" t="s">
        <v>104</v>
      </c>
    </row>
    <row r="7" spans="1:8" ht="18">
      <c r="A7" s="11" t="s">
        <v>322</v>
      </c>
      <c r="B7" s="11" t="s">
        <v>284</v>
      </c>
      <c r="C7" s="26">
        <v>82.462112512353201</v>
      </c>
      <c r="D7" s="17">
        <v>87.7</v>
      </c>
      <c r="E7" s="17">
        <v>78</v>
      </c>
      <c r="F7" s="17">
        <v>1</v>
      </c>
      <c r="G7" s="17">
        <v>81.802422502470648</v>
      </c>
      <c r="H7" s="18" t="s">
        <v>109</v>
      </c>
    </row>
    <row r="8" spans="1:8" ht="18">
      <c r="A8" s="11" t="s">
        <v>323</v>
      </c>
      <c r="B8" s="11" t="s">
        <v>285</v>
      </c>
      <c r="C8" s="26">
        <v>70.710678118654798</v>
      </c>
      <c r="D8" s="17">
        <v>75</v>
      </c>
      <c r="E8" s="17">
        <v>59</v>
      </c>
      <c r="F8" s="17">
        <v>1</v>
      </c>
      <c r="G8" s="17">
        <v>66.142135623730951</v>
      </c>
      <c r="H8" s="18" t="s">
        <v>124</v>
      </c>
    </row>
    <row r="9" spans="1:8" ht="18">
      <c r="A9" s="11" t="s">
        <v>324</v>
      </c>
      <c r="B9" s="11" t="s">
        <v>286</v>
      </c>
      <c r="C9" s="26">
        <v>78.740078740118093</v>
      </c>
      <c r="D9" s="17">
        <v>85.7</v>
      </c>
      <c r="E9" s="17">
        <v>69</v>
      </c>
      <c r="F9" s="17">
        <v>1</v>
      </c>
      <c r="G9" s="17">
        <v>75.958015748023627</v>
      </c>
      <c r="H9" s="18" t="s">
        <v>121</v>
      </c>
    </row>
    <row r="10" spans="1:8" ht="18">
      <c r="A10" s="11" t="s">
        <v>325</v>
      </c>
      <c r="B10" s="11" t="s">
        <v>287</v>
      </c>
      <c r="C10" s="26">
        <v>84.852813742385706</v>
      </c>
      <c r="D10" s="17">
        <v>87.7</v>
      </c>
      <c r="E10" s="17">
        <v>80</v>
      </c>
      <c r="F10" s="17">
        <v>1</v>
      </c>
      <c r="G10" s="17">
        <v>83.280562748477138</v>
      </c>
      <c r="H10" s="18" t="s">
        <v>106</v>
      </c>
    </row>
    <row r="11" spans="1:8" ht="18">
      <c r="A11" s="11" t="s">
        <v>326</v>
      </c>
      <c r="B11" s="11" t="s">
        <v>288</v>
      </c>
      <c r="C11" s="26">
        <v>77.459666924148294</v>
      </c>
      <c r="D11" s="17">
        <v>84.3</v>
      </c>
      <c r="E11" s="17">
        <v>75</v>
      </c>
      <c r="F11" s="17">
        <v>1</v>
      </c>
      <c r="G11" s="17">
        <v>78.281933384829657</v>
      </c>
      <c r="H11" s="18" t="s">
        <v>117</v>
      </c>
    </row>
    <row r="12" spans="1:8" ht="18">
      <c r="A12" s="11" t="s">
        <v>327</v>
      </c>
      <c r="B12" s="11" t="s">
        <v>289</v>
      </c>
      <c r="C12" s="26">
        <v>77.459666924148294</v>
      </c>
      <c r="D12" s="17">
        <v>81.3</v>
      </c>
      <c r="E12" s="17">
        <v>73</v>
      </c>
      <c r="F12" s="17">
        <v>1</v>
      </c>
      <c r="G12" s="17">
        <v>76.381933384829665</v>
      </c>
      <c r="H12" s="18" t="s">
        <v>120</v>
      </c>
    </row>
    <row r="13" spans="1:8" ht="18">
      <c r="A13" s="11" t="s">
        <v>328</v>
      </c>
      <c r="B13" s="11" t="s">
        <v>290</v>
      </c>
      <c r="C13" s="26">
        <v>86.023252670426302</v>
      </c>
      <c r="D13" s="17">
        <v>83</v>
      </c>
      <c r="E13" s="17">
        <v>79</v>
      </c>
      <c r="F13" s="17">
        <v>1</v>
      </c>
      <c r="G13" s="17">
        <v>81.604650534085266</v>
      </c>
      <c r="H13" s="18" t="s">
        <v>110</v>
      </c>
    </row>
    <row r="14" spans="1:8" ht="18">
      <c r="A14" s="11" t="s">
        <v>330</v>
      </c>
      <c r="B14" s="11" t="s">
        <v>292</v>
      </c>
      <c r="C14" s="26">
        <v>82.462112512353201</v>
      </c>
      <c r="D14" s="17">
        <v>79.7</v>
      </c>
      <c r="E14" s="17">
        <v>64</v>
      </c>
      <c r="F14" s="17">
        <v>1</v>
      </c>
      <c r="G14" s="17">
        <v>72.402422502470642</v>
      </c>
      <c r="H14" s="18" t="s">
        <v>123</v>
      </c>
    </row>
    <row r="15" spans="1:8" ht="18">
      <c r="A15" s="11" t="s">
        <v>329</v>
      </c>
      <c r="B15" s="11" t="s">
        <v>291</v>
      </c>
      <c r="C15" s="26">
        <v>80</v>
      </c>
      <c r="D15" s="17">
        <v>86.7</v>
      </c>
      <c r="E15" s="17">
        <v>88</v>
      </c>
      <c r="F15" s="17">
        <v>1</v>
      </c>
      <c r="G15" s="17">
        <v>86.01</v>
      </c>
      <c r="H15" s="18" t="s">
        <v>102</v>
      </c>
    </row>
    <row r="16" spans="1:8" ht="18">
      <c r="A16" s="11" t="s">
        <v>331</v>
      </c>
      <c r="B16" s="11" t="s">
        <v>293</v>
      </c>
      <c r="C16" s="26">
        <v>83.666002653407602</v>
      </c>
      <c r="D16" s="17">
        <v>87.7</v>
      </c>
      <c r="E16" s="17">
        <v>85</v>
      </c>
      <c r="F16" s="17">
        <v>1</v>
      </c>
      <c r="G16" s="17">
        <v>85.543200530681517</v>
      </c>
      <c r="H16" s="18" t="s">
        <v>105</v>
      </c>
    </row>
    <row r="17" spans="1:8" ht="18">
      <c r="A17" s="11" t="s">
        <v>332</v>
      </c>
      <c r="B17" s="11" t="s">
        <v>294</v>
      </c>
      <c r="C17" s="26">
        <v>80</v>
      </c>
      <c r="D17" s="17">
        <v>84.3</v>
      </c>
      <c r="E17" s="17">
        <v>79</v>
      </c>
      <c r="F17" s="17">
        <v>1</v>
      </c>
      <c r="G17" s="17">
        <v>80.789999999999992</v>
      </c>
      <c r="H17" s="18" t="s">
        <v>112</v>
      </c>
    </row>
    <row r="18" spans="1:8" ht="18">
      <c r="A18" s="11" t="s">
        <v>333</v>
      </c>
      <c r="B18" s="11" t="s">
        <v>295</v>
      </c>
      <c r="C18" s="26">
        <v>90.553851381374201</v>
      </c>
      <c r="D18" s="17">
        <v>79.7</v>
      </c>
      <c r="E18" s="17">
        <v>72.742000000000004</v>
      </c>
      <c r="F18" s="17">
        <v>0.98299999999999998</v>
      </c>
      <c r="G18" s="17">
        <v>78.391770276274855</v>
      </c>
      <c r="H18" s="18" t="s">
        <v>116</v>
      </c>
    </row>
    <row r="19" spans="1:8" ht="18">
      <c r="A19" s="11" t="s">
        <v>334</v>
      </c>
      <c r="B19" s="11" t="s">
        <v>296</v>
      </c>
      <c r="C19" s="26">
        <v>89.442719099991606</v>
      </c>
      <c r="D19" s="17">
        <v>88</v>
      </c>
      <c r="E19" s="17">
        <v>86.504000000000005</v>
      </c>
      <c r="F19" s="17">
        <v>0.98299999999999998</v>
      </c>
      <c r="G19" s="17">
        <v>87.540543819998334</v>
      </c>
      <c r="H19" s="18" t="s">
        <v>96</v>
      </c>
    </row>
    <row r="20" spans="1:8" ht="18">
      <c r="A20" s="14" t="s">
        <v>335</v>
      </c>
      <c r="B20" s="14" t="s">
        <v>297</v>
      </c>
      <c r="C20" s="27">
        <v>80</v>
      </c>
      <c r="D20" s="19"/>
      <c r="E20" s="19"/>
      <c r="F20" s="19">
        <v>1</v>
      </c>
      <c r="G20" s="19">
        <v>86.486249999999998</v>
      </c>
      <c r="H20" s="18" t="s">
        <v>100</v>
      </c>
    </row>
    <row r="21" spans="1:8" ht="18">
      <c r="A21" s="11" t="s">
        <v>336</v>
      </c>
      <c r="B21" s="11" t="s">
        <v>298</v>
      </c>
      <c r="C21" s="26">
        <v>84.852813742385706</v>
      </c>
      <c r="D21" s="17">
        <v>89.3</v>
      </c>
      <c r="E21" s="17">
        <v>92</v>
      </c>
      <c r="F21" s="17">
        <v>1</v>
      </c>
      <c r="G21" s="17">
        <v>89.760562748477142</v>
      </c>
      <c r="H21" s="18" t="s">
        <v>88</v>
      </c>
    </row>
    <row r="22" spans="1:8" ht="18">
      <c r="A22" s="11" t="s">
        <v>337</v>
      </c>
      <c r="B22" s="11" t="s">
        <v>299</v>
      </c>
      <c r="C22" s="26">
        <v>88.317608663278506</v>
      </c>
      <c r="D22" s="17">
        <v>84</v>
      </c>
      <c r="E22" s="17">
        <v>87</v>
      </c>
      <c r="F22" s="17">
        <v>1</v>
      </c>
      <c r="G22" s="17">
        <v>86.363521732655698</v>
      </c>
      <c r="H22" s="18" t="s">
        <v>101</v>
      </c>
    </row>
    <row r="23" spans="1:8" ht="18">
      <c r="A23" s="11" t="s">
        <v>338</v>
      </c>
      <c r="B23" s="11" t="s">
        <v>300</v>
      </c>
      <c r="C23" s="26">
        <v>77.459666924148294</v>
      </c>
      <c r="D23" s="17">
        <v>84</v>
      </c>
      <c r="E23" s="17">
        <v>78.326999999999998</v>
      </c>
      <c r="F23" s="17">
        <v>0.96699999999999997</v>
      </c>
      <c r="G23" s="17">
        <v>79.855433384829666</v>
      </c>
      <c r="H23" s="18" t="s">
        <v>114</v>
      </c>
    </row>
    <row r="24" spans="1:8" ht="18">
      <c r="A24" s="11" t="s">
        <v>339</v>
      </c>
      <c r="B24" s="11" t="s">
        <v>301</v>
      </c>
      <c r="C24" s="26">
        <v>82.462112512353201</v>
      </c>
      <c r="D24" s="17">
        <v>85.3</v>
      </c>
      <c r="E24" s="17">
        <v>74</v>
      </c>
      <c r="F24" s="17">
        <v>1</v>
      </c>
      <c r="G24" s="17">
        <v>79.082422502470649</v>
      </c>
      <c r="H24" s="18" t="s">
        <v>115</v>
      </c>
    </row>
    <row r="25" spans="1:8" ht="18">
      <c r="A25" s="11" t="s">
        <v>340</v>
      </c>
      <c r="B25" s="11" t="s">
        <v>302</v>
      </c>
      <c r="C25" s="26">
        <v>84.852813742385706</v>
      </c>
      <c r="D25" s="17">
        <v>87.3</v>
      </c>
      <c r="E25" s="17">
        <v>91</v>
      </c>
      <c r="F25" s="17">
        <v>1</v>
      </c>
      <c r="G25" s="17">
        <v>88.660562748477133</v>
      </c>
      <c r="H25" s="18" t="s">
        <v>90</v>
      </c>
    </row>
    <row r="26" spans="1:8" ht="18">
      <c r="A26" s="11" t="s">
        <v>341</v>
      </c>
      <c r="B26" s="11" t="s">
        <v>303</v>
      </c>
      <c r="C26" s="26">
        <v>89.442719099991606</v>
      </c>
      <c r="D26" s="17">
        <v>82.7</v>
      </c>
      <c r="E26" s="17">
        <v>90</v>
      </c>
      <c r="F26" s="17">
        <v>1</v>
      </c>
      <c r="G26" s="17">
        <v>87.698543819998321</v>
      </c>
      <c r="H26" s="18" t="s">
        <v>95</v>
      </c>
    </row>
    <row r="27" spans="1:8" ht="18">
      <c r="A27" s="11" t="s">
        <v>342</v>
      </c>
      <c r="B27" s="11" t="s">
        <v>304</v>
      </c>
      <c r="C27" s="26">
        <v>86.023252670426302</v>
      </c>
      <c r="D27" s="17">
        <v>84</v>
      </c>
      <c r="E27" s="17">
        <v>91</v>
      </c>
      <c r="F27" s="17">
        <v>1</v>
      </c>
      <c r="G27" s="17">
        <v>87.904650534085263</v>
      </c>
      <c r="H27" s="18" t="s">
        <v>94</v>
      </c>
    </row>
    <row r="28" spans="1:8" ht="18">
      <c r="A28" s="11" t="s">
        <v>343</v>
      </c>
      <c r="B28" s="11" t="s">
        <v>305</v>
      </c>
      <c r="C28" s="26">
        <v>82.462112512353201</v>
      </c>
      <c r="D28" s="17">
        <v>83.3</v>
      </c>
      <c r="E28" s="17">
        <v>77</v>
      </c>
      <c r="F28" s="17">
        <v>1</v>
      </c>
      <c r="G28" s="17">
        <v>79.982422502470641</v>
      </c>
      <c r="H28" s="18" t="s">
        <v>113</v>
      </c>
    </row>
    <row r="29" spans="1:8" ht="18">
      <c r="A29" s="11" t="s">
        <v>344</v>
      </c>
      <c r="B29" s="11" t="s">
        <v>306</v>
      </c>
      <c r="C29" s="26">
        <v>87.177978870813504</v>
      </c>
      <c r="D29" s="17">
        <v>86.7</v>
      </c>
      <c r="E29" s="17">
        <v>89</v>
      </c>
      <c r="F29" s="17">
        <v>1</v>
      </c>
      <c r="G29" s="17">
        <v>87.945595774162712</v>
      </c>
      <c r="H29" s="18" t="s">
        <v>93</v>
      </c>
    </row>
    <row r="30" spans="1:8" ht="18">
      <c r="A30" s="11" t="s">
        <v>345</v>
      </c>
      <c r="B30" s="11" t="s">
        <v>307</v>
      </c>
      <c r="C30" s="26">
        <v>80</v>
      </c>
      <c r="D30" s="17">
        <v>83.6</v>
      </c>
      <c r="E30" s="17">
        <v>73.8</v>
      </c>
      <c r="F30" s="17">
        <v>0.9</v>
      </c>
      <c r="G30" s="17">
        <v>77.97999999999999</v>
      </c>
      <c r="H30" s="18" t="s">
        <v>118</v>
      </c>
    </row>
    <row r="31" spans="1:8" ht="18">
      <c r="A31" s="11" t="s">
        <v>346</v>
      </c>
      <c r="B31" s="11" t="s">
        <v>308</v>
      </c>
      <c r="C31" s="26">
        <v>84.852813742385706</v>
      </c>
      <c r="D31" s="17">
        <v>92.7</v>
      </c>
      <c r="E31" s="17">
        <v>100</v>
      </c>
      <c r="F31" s="17">
        <v>1</v>
      </c>
      <c r="G31" s="17">
        <v>94.780562748477138</v>
      </c>
      <c r="H31" s="18" t="s">
        <v>87</v>
      </c>
    </row>
    <row r="32" spans="1:8" ht="18">
      <c r="A32" s="11" t="s">
        <v>347</v>
      </c>
      <c r="B32" s="11" t="s">
        <v>309</v>
      </c>
      <c r="C32" s="26">
        <v>84.852813742385706</v>
      </c>
      <c r="D32" s="17">
        <v>84.6</v>
      </c>
      <c r="E32" s="17">
        <v>77</v>
      </c>
      <c r="F32" s="17">
        <v>1</v>
      </c>
      <c r="G32" s="17">
        <v>80.850562748477145</v>
      </c>
      <c r="H32" s="18" t="s">
        <v>111</v>
      </c>
    </row>
    <row r="33" spans="1:8" ht="18">
      <c r="A33" s="11" t="s">
        <v>348</v>
      </c>
      <c r="B33" s="11" t="s">
        <v>310</v>
      </c>
      <c r="C33" s="26">
        <v>83.666002653407602</v>
      </c>
      <c r="D33" s="17">
        <v>84</v>
      </c>
      <c r="E33" s="17">
        <v>91</v>
      </c>
      <c r="F33" s="17">
        <v>1</v>
      </c>
      <c r="G33" s="17">
        <v>87.433200530681518</v>
      </c>
      <c r="H33" s="18" t="s">
        <v>97</v>
      </c>
    </row>
    <row r="34" spans="1:8" ht="18">
      <c r="A34" s="11" t="s">
        <v>349</v>
      </c>
      <c r="B34" s="11" t="s">
        <v>311</v>
      </c>
      <c r="C34" s="26">
        <v>87.177978870813504</v>
      </c>
      <c r="D34" s="17">
        <v>86</v>
      </c>
      <c r="E34" s="17">
        <v>87</v>
      </c>
      <c r="F34" s="17">
        <v>1</v>
      </c>
      <c r="G34" s="17">
        <v>86.735595774162704</v>
      </c>
      <c r="H34" s="18" t="s">
        <v>99</v>
      </c>
    </row>
    <row r="35" spans="1:8" ht="18">
      <c r="A35" s="11" t="s">
        <v>350</v>
      </c>
      <c r="B35" s="11" t="s">
        <v>312</v>
      </c>
      <c r="C35" s="26">
        <v>83.666002653407602</v>
      </c>
      <c r="D35" s="17">
        <v>85.7</v>
      </c>
      <c r="E35" s="17">
        <v>93</v>
      </c>
      <c r="F35" s="17">
        <v>1</v>
      </c>
      <c r="G35" s="17">
        <v>88.943200530681523</v>
      </c>
      <c r="H35" s="18" t="s">
        <v>89</v>
      </c>
    </row>
    <row r="36" spans="1:8" ht="18">
      <c r="A36" s="11" t="s">
        <v>355</v>
      </c>
      <c r="B36" s="11" t="s">
        <v>313</v>
      </c>
      <c r="C36" s="26">
        <v>80</v>
      </c>
      <c r="D36" s="17">
        <v>83</v>
      </c>
      <c r="E36" s="17">
        <v>73</v>
      </c>
      <c r="F36" s="17">
        <v>1</v>
      </c>
      <c r="G36" s="17">
        <v>77.400000000000006</v>
      </c>
      <c r="H36" s="18" t="s">
        <v>119</v>
      </c>
    </row>
    <row r="37" spans="1:8" ht="18">
      <c r="A37" s="11" t="s">
        <v>351</v>
      </c>
      <c r="B37" s="11" t="s">
        <v>314</v>
      </c>
      <c r="C37" s="26">
        <v>83.666002653407602</v>
      </c>
      <c r="D37" s="17">
        <v>82</v>
      </c>
      <c r="E37" s="17">
        <v>89</v>
      </c>
      <c r="F37" s="17">
        <v>1</v>
      </c>
      <c r="G37" s="17">
        <v>85.833200530681523</v>
      </c>
      <c r="H37" s="18" t="s">
        <v>103</v>
      </c>
    </row>
    <row r="38" spans="1:8" ht="18">
      <c r="A38" s="11" t="s">
        <v>352</v>
      </c>
      <c r="B38" s="11" t="s">
        <v>315</v>
      </c>
      <c r="C38" s="26">
        <v>87.177978870813504</v>
      </c>
      <c r="D38" s="17">
        <v>86.3</v>
      </c>
      <c r="E38" s="17">
        <v>79</v>
      </c>
      <c r="F38" s="17">
        <v>1</v>
      </c>
      <c r="G38" s="17">
        <v>82.825595774162707</v>
      </c>
      <c r="H38" s="18" t="s">
        <v>107</v>
      </c>
    </row>
    <row r="39" spans="1:8" ht="18">
      <c r="A39" s="11" t="s">
        <v>353</v>
      </c>
      <c r="B39" s="11" t="s">
        <v>316</v>
      </c>
      <c r="C39" s="26">
        <v>87.177978870813504</v>
      </c>
      <c r="D39" s="17">
        <v>88.3</v>
      </c>
      <c r="E39" s="17">
        <v>89</v>
      </c>
      <c r="F39" s="17">
        <v>1</v>
      </c>
      <c r="G39" s="17">
        <v>88.425595774162701</v>
      </c>
      <c r="H39" s="18" t="s">
        <v>92</v>
      </c>
    </row>
    <row r="40" spans="1:8" ht="18">
      <c r="A40" s="11" t="s">
        <v>354</v>
      </c>
      <c r="B40" s="11" t="s">
        <v>317</v>
      </c>
      <c r="C40" s="26">
        <v>77.459666924148294</v>
      </c>
      <c r="D40" s="17">
        <v>77.7</v>
      </c>
      <c r="E40" s="17">
        <v>71</v>
      </c>
      <c r="F40" s="17">
        <v>1</v>
      </c>
      <c r="G40" s="17">
        <v>74.301933384829653</v>
      </c>
      <c r="H40" s="18" t="s">
        <v>122</v>
      </c>
    </row>
  </sheetData>
  <sortState xmlns:xlrd2="http://schemas.microsoft.com/office/spreadsheetml/2017/richdata2" ref="A3:H41">
    <sortCondition ref="A2:A41"/>
  </sortState>
  <mergeCells count="1">
    <mergeCell ref="A1:H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B59B8-AD18-0C41-8E34-07A2048AA463}">
  <dimension ref="A1:H40"/>
  <sheetViews>
    <sheetView zoomScale="75" workbookViewId="0">
      <selection activeCell="H26" sqref="H26"/>
    </sheetView>
  </sheetViews>
  <sheetFormatPr baseColWidth="10" defaultRowHeight="16"/>
  <cols>
    <col min="1" max="8" width="20.83203125" customWidth="1"/>
  </cols>
  <sheetData>
    <row r="1" spans="1:8" ht="24" customHeight="1">
      <c r="A1" s="49" t="s">
        <v>356</v>
      </c>
      <c r="B1" s="50"/>
      <c r="C1" s="50"/>
      <c r="D1" s="50"/>
      <c r="E1" s="50"/>
      <c r="F1" s="50"/>
      <c r="G1" s="50"/>
      <c r="H1" s="51"/>
    </row>
    <row r="2" spans="1:8" ht="24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2" t="s">
        <v>6</v>
      </c>
      <c r="H2" s="8" t="s">
        <v>7</v>
      </c>
    </row>
    <row r="3" spans="1:8" ht="18">
      <c r="A3" s="11" t="s">
        <v>357</v>
      </c>
      <c r="B3" s="21" t="s">
        <v>395</v>
      </c>
      <c r="C3" s="24">
        <v>84.852813742385706</v>
      </c>
      <c r="D3" s="24">
        <v>77.6666666666667</v>
      </c>
      <c r="E3" s="24">
        <v>88.5</v>
      </c>
      <c r="F3" s="24">
        <v>1</v>
      </c>
      <c r="G3" s="17">
        <v>84.520562748477104</v>
      </c>
      <c r="H3" s="18" t="s">
        <v>100</v>
      </c>
    </row>
    <row r="4" spans="1:8" ht="18">
      <c r="A4" s="11" t="s">
        <v>358</v>
      </c>
      <c r="B4" s="21" t="s">
        <v>396</v>
      </c>
      <c r="C4" s="24">
        <v>82.462112512353201</v>
      </c>
      <c r="D4" s="24">
        <v>84.6666666666667</v>
      </c>
      <c r="E4" s="24">
        <v>88</v>
      </c>
      <c r="F4" s="24">
        <v>0.98775510204081596</v>
      </c>
      <c r="G4" s="17">
        <v>85.353646992266604</v>
      </c>
      <c r="H4" s="18" t="s">
        <v>98</v>
      </c>
    </row>
    <row r="5" spans="1:8" ht="18">
      <c r="A5" s="11" t="s">
        <v>359</v>
      </c>
      <c r="B5" s="21" t="s">
        <v>397</v>
      </c>
      <c r="C5" s="24">
        <v>81.240384046359594</v>
      </c>
      <c r="D5" s="24">
        <v>83.6666666666667</v>
      </c>
      <c r="E5" s="24">
        <v>86</v>
      </c>
      <c r="F5" s="24">
        <v>0.98775510204081596</v>
      </c>
      <c r="G5" s="17">
        <v>83.821546197027004</v>
      </c>
      <c r="H5" s="18" t="s">
        <v>101</v>
      </c>
    </row>
    <row r="6" spans="1:8" ht="18">
      <c r="A6" s="11" t="s">
        <v>360</v>
      </c>
      <c r="B6" s="21" t="s">
        <v>398</v>
      </c>
      <c r="C6" s="24">
        <v>78.740078740118093</v>
      </c>
      <c r="D6" s="24">
        <v>79</v>
      </c>
      <c r="E6" s="24">
        <v>78</v>
      </c>
      <c r="F6" s="24">
        <v>0.97142857142857097</v>
      </c>
      <c r="G6" s="17">
        <v>77.333730033737893</v>
      </c>
      <c r="H6" s="18" t="s">
        <v>114</v>
      </c>
    </row>
    <row r="7" spans="1:8" ht="18">
      <c r="A7" s="11" t="s">
        <v>361</v>
      </c>
      <c r="B7" s="21" t="s">
        <v>399</v>
      </c>
      <c r="C7" s="24">
        <v>77.459666924148294</v>
      </c>
      <c r="D7" s="24">
        <v>82.3333333333333</v>
      </c>
      <c r="E7" s="24">
        <v>78</v>
      </c>
      <c r="F7" s="24">
        <v>1</v>
      </c>
      <c r="G7" s="17">
        <v>79.191933384829596</v>
      </c>
      <c r="H7" s="18" t="s">
        <v>109</v>
      </c>
    </row>
    <row r="8" spans="1:8" ht="18">
      <c r="A8" s="14" t="s">
        <v>362</v>
      </c>
      <c r="B8" s="22" t="s">
        <v>400</v>
      </c>
      <c r="C8" s="25">
        <v>80</v>
      </c>
      <c r="D8" s="25"/>
      <c r="E8" s="25"/>
      <c r="F8" s="25">
        <v>1</v>
      </c>
      <c r="G8" s="19">
        <v>87.884500000000003</v>
      </c>
      <c r="H8" s="18" t="s">
        <v>89</v>
      </c>
    </row>
    <row r="9" spans="1:8" ht="18">
      <c r="A9" s="11" t="s">
        <v>363</v>
      </c>
      <c r="B9" s="21" t="s">
        <v>401</v>
      </c>
      <c r="C9" s="24">
        <v>74.833147735478803</v>
      </c>
      <c r="D9" s="24">
        <v>73</v>
      </c>
      <c r="E9" s="24">
        <v>78</v>
      </c>
      <c r="F9" s="24">
        <v>1</v>
      </c>
      <c r="G9" s="17">
        <v>75.866629547095798</v>
      </c>
      <c r="H9" s="18" t="s">
        <v>116</v>
      </c>
    </row>
    <row r="10" spans="1:8" ht="18">
      <c r="A10" s="11" t="s">
        <v>364</v>
      </c>
      <c r="B10" s="21" t="s">
        <v>402</v>
      </c>
      <c r="C10" s="24">
        <v>81.240384046359594</v>
      </c>
      <c r="D10" s="24">
        <v>77</v>
      </c>
      <c r="E10" s="24">
        <v>73</v>
      </c>
      <c r="F10" s="24">
        <v>0.97551020408163303</v>
      </c>
      <c r="G10" s="17">
        <v>74.954199258251506</v>
      </c>
      <c r="H10" s="18" t="s">
        <v>119</v>
      </c>
    </row>
    <row r="11" spans="1:8" ht="18">
      <c r="A11" s="11" t="s">
        <v>365</v>
      </c>
      <c r="B11" s="21" t="s">
        <v>403</v>
      </c>
      <c r="C11" s="24">
        <v>80</v>
      </c>
      <c r="D11" s="24">
        <v>80</v>
      </c>
      <c r="E11" s="24">
        <v>80</v>
      </c>
      <c r="F11" s="24">
        <v>0.99591836734693895</v>
      </c>
      <c r="G11" s="17">
        <v>79.836734693877503</v>
      </c>
      <c r="H11" s="18" t="s">
        <v>108</v>
      </c>
    </row>
    <row r="12" spans="1:8" ht="18">
      <c r="A12" s="14" t="s">
        <v>366</v>
      </c>
      <c r="B12" s="22" t="s">
        <v>404</v>
      </c>
      <c r="C12" s="25">
        <v>74.833147735478803</v>
      </c>
      <c r="D12" s="25"/>
      <c r="E12" s="25"/>
      <c r="F12" s="25">
        <v>0.989247311827957</v>
      </c>
      <c r="G12" s="19">
        <v>86.834782258064493</v>
      </c>
      <c r="H12" s="18" t="s">
        <v>93</v>
      </c>
    </row>
    <row r="13" spans="1:8" ht="18">
      <c r="A13" s="11" t="s">
        <v>367</v>
      </c>
      <c r="B13" s="21" t="s">
        <v>405</v>
      </c>
      <c r="C13" s="24">
        <v>80</v>
      </c>
      <c r="D13" s="24">
        <v>80</v>
      </c>
      <c r="E13" s="24">
        <v>87.5</v>
      </c>
      <c r="F13" s="24">
        <v>1</v>
      </c>
      <c r="G13" s="17">
        <v>83.75</v>
      </c>
      <c r="H13" s="18" t="s">
        <v>102</v>
      </c>
    </row>
    <row r="14" spans="1:8" ht="18">
      <c r="A14" s="11" t="s">
        <v>368</v>
      </c>
      <c r="B14" s="21" t="s">
        <v>406</v>
      </c>
      <c r="C14" s="24">
        <v>80</v>
      </c>
      <c r="D14" s="24">
        <v>87.3333333333333</v>
      </c>
      <c r="E14" s="24">
        <v>88.5</v>
      </c>
      <c r="F14" s="24">
        <v>1</v>
      </c>
      <c r="G14" s="17">
        <v>86.45</v>
      </c>
      <c r="H14" s="18" t="s">
        <v>94</v>
      </c>
    </row>
    <row r="15" spans="1:8" ht="18">
      <c r="A15" s="11" t="s">
        <v>369</v>
      </c>
      <c r="B15" s="21" t="s">
        <v>407</v>
      </c>
      <c r="C15" s="24">
        <v>77.459666924148294</v>
      </c>
      <c r="D15" s="24">
        <v>79.6666666666667</v>
      </c>
      <c r="E15" s="24">
        <v>82</v>
      </c>
      <c r="F15" s="24">
        <v>0.93061224489795902</v>
      </c>
      <c r="G15" s="17">
        <v>77.547035425646001</v>
      </c>
      <c r="H15" s="18" t="s">
        <v>113</v>
      </c>
    </row>
    <row r="16" spans="1:8" ht="18">
      <c r="A16" s="11" t="s">
        <v>370</v>
      </c>
      <c r="B16" s="21" t="s">
        <v>408</v>
      </c>
      <c r="C16" s="24">
        <v>83.666002653407602</v>
      </c>
      <c r="D16" s="24">
        <v>81</v>
      </c>
      <c r="E16" s="24">
        <v>79</v>
      </c>
      <c r="F16" s="24">
        <v>1</v>
      </c>
      <c r="G16" s="17">
        <v>80.533200530681498</v>
      </c>
      <c r="H16" s="18" t="s">
        <v>106</v>
      </c>
    </row>
    <row r="17" spans="1:8" ht="18">
      <c r="A17" s="11" t="s">
        <v>371</v>
      </c>
      <c r="B17" s="21" t="s">
        <v>409</v>
      </c>
      <c r="C17" s="24">
        <v>82.462112512353201</v>
      </c>
      <c r="D17" s="24">
        <v>77.3333333333333</v>
      </c>
      <c r="E17" s="24">
        <v>77</v>
      </c>
      <c r="F17" s="24">
        <v>0.88571428571428601</v>
      </c>
      <c r="G17" s="17">
        <v>73.7924225024706</v>
      </c>
      <c r="H17" s="18" t="s">
        <v>121</v>
      </c>
    </row>
    <row r="18" spans="1:8" ht="18">
      <c r="A18" s="11" t="s">
        <v>372</v>
      </c>
      <c r="B18" s="21" t="s">
        <v>410</v>
      </c>
      <c r="C18" s="24">
        <v>83.666002653407602</v>
      </c>
      <c r="D18" s="24">
        <v>87.6666666666667</v>
      </c>
      <c r="E18" s="24">
        <v>85</v>
      </c>
      <c r="F18" s="24">
        <v>1</v>
      </c>
      <c r="G18" s="17">
        <v>85.533200530681498</v>
      </c>
      <c r="H18" s="18" t="s">
        <v>97</v>
      </c>
    </row>
    <row r="19" spans="1:8" ht="18">
      <c r="A19" s="11" t="s">
        <v>373</v>
      </c>
      <c r="B19" s="21" t="s">
        <v>411</v>
      </c>
      <c r="C19" s="24">
        <v>78.740078740118093</v>
      </c>
      <c r="D19" s="24">
        <v>80.6666666666667</v>
      </c>
      <c r="E19" s="24">
        <v>77.5</v>
      </c>
      <c r="F19" s="24">
        <v>1</v>
      </c>
      <c r="G19" s="17">
        <v>78.698015748023593</v>
      </c>
      <c r="H19" s="18" t="s">
        <v>112</v>
      </c>
    </row>
    <row r="20" spans="1:8" ht="18">
      <c r="A20" s="11" t="s">
        <v>374</v>
      </c>
      <c r="B20" s="21" t="s">
        <v>412</v>
      </c>
      <c r="C20" s="24">
        <v>89.442719099991606</v>
      </c>
      <c r="D20" s="24">
        <v>81</v>
      </c>
      <c r="E20" s="24">
        <v>94</v>
      </c>
      <c r="F20" s="24">
        <v>1</v>
      </c>
      <c r="G20" s="17">
        <v>89.188543819998301</v>
      </c>
      <c r="H20" s="18" t="s">
        <v>88</v>
      </c>
    </row>
    <row r="21" spans="1:8" ht="18">
      <c r="A21" s="11" t="s">
        <v>375</v>
      </c>
      <c r="B21" s="21" t="s">
        <v>413</v>
      </c>
      <c r="C21" s="24">
        <v>74.833147735478803</v>
      </c>
      <c r="D21" s="24">
        <v>77.3333333333333</v>
      </c>
      <c r="E21" s="24">
        <v>76</v>
      </c>
      <c r="F21" s="24">
        <v>0.97142857142857097</v>
      </c>
      <c r="G21" s="17">
        <v>75.080915261381506</v>
      </c>
      <c r="H21" s="18" t="s">
        <v>118</v>
      </c>
    </row>
    <row r="22" spans="1:8" ht="18">
      <c r="A22" s="11" t="s">
        <v>376</v>
      </c>
      <c r="B22" s="21" t="s">
        <v>414</v>
      </c>
      <c r="C22" s="24">
        <v>82.462112512353201</v>
      </c>
      <c r="D22" s="24">
        <v>85.3333333333333</v>
      </c>
      <c r="E22" s="24">
        <v>86</v>
      </c>
      <c r="F22" s="24">
        <v>1</v>
      </c>
      <c r="G22" s="17">
        <v>85.092422502470598</v>
      </c>
      <c r="H22" s="18" t="s">
        <v>99</v>
      </c>
    </row>
    <row r="23" spans="1:8" ht="18">
      <c r="A23" s="11" t="s">
        <v>377</v>
      </c>
      <c r="B23" s="21" t="s">
        <v>415</v>
      </c>
      <c r="C23" s="24">
        <v>80</v>
      </c>
      <c r="D23" s="24">
        <v>79</v>
      </c>
      <c r="E23" s="24">
        <v>75.5</v>
      </c>
      <c r="F23" s="24">
        <v>0.90612244897959204</v>
      </c>
      <c r="G23" s="17">
        <v>73.906122448979602</v>
      </c>
      <c r="H23" s="18" t="s">
        <v>120</v>
      </c>
    </row>
    <row r="24" spans="1:8" ht="18">
      <c r="A24" s="14" t="s">
        <v>378</v>
      </c>
      <c r="B24" s="22" t="s">
        <v>416</v>
      </c>
      <c r="C24" s="25">
        <v>86.023252670426302</v>
      </c>
      <c r="D24" s="25"/>
      <c r="E24" s="25"/>
      <c r="F24" s="25">
        <v>1</v>
      </c>
      <c r="G24" s="19">
        <v>89.263999999999996</v>
      </c>
      <c r="H24" s="18" t="s">
        <v>87</v>
      </c>
    </row>
    <row r="25" spans="1:8" ht="18">
      <c r="A25" s="11" t="s">
        <v>379</v>
      </c>
      <c r="B25" s="21" t="s">
        <v>417</v>
      </c>
      <c r="C25" s="24">
        <v>83.666002653407602</v>
      </c>
      <c r="D25" s="24">
        <v>76.3333333333333</v>
      </c>
      <c r="E25" s="24">
        <v>67.5</v>
      </c>
      <c r="F25" s="24">
        <v>1</v>
      </c>
      <c r="G25" s="17">
        <v>73.383200530681506</v>
      </c>
      <c r="H25" s="18" t="s">
        <v>122</v>
      </c>
    </row>
    <row r="26" spans="1:8" ht="18">
      <c r="A26" s="11" t="s">
        <v>380</v>
      </c>
      <c r="B26" s="21" t="s">
        <v>418</v>
      </c>
      <c r="C26" s="24">
        <v>80</v>
      </c>
      <c r="D26" s="24">
        <v>84</v>
      </c>
      <c r="E26" s="24">
        <v>92</v>
      </c>
      <c r="F26" s="24">
        <v>1</v>
      </c>
      <c r="G26" s="17">
        <v>87.2</v>
      </c>
      <c r="H26" s="18" t="s">
        <v>91</v>
      </c>
    </row>
    <row r="27" spans="1:8" ht="18">
      <c r="A27" s="11" t="s">
        <v>381</v>
      </c>
      <c r="B27" s="21" t="s">
        <v>419</v>
      </c>
      <c r="C27" s="24">
        <v>77.459666924148294</v>
      </c>
      <c r="D27" s="24">
        <v>76</v>
      </c>
      <c r="E27" s="24">
        <v>70</v>
      </c>
      <c r="F27" s="24">
        <v>0.99591836734693895</v>
      </c>
      <c r="G27" s="17">
        <v>73.149076241972494</v>
      </c>
      <c r="H27" s="18" t="s">
        <v>123</v>
      </c>
    </row>
    <row r="28" spans="1:8" ht="18">
      <c r="A28" s="11" t="s">
        <v>382</v>
      </c>
      <c r="B28" s="21" t="s">
        <v>420</v>
      </c>
      <c r="C28" s="24">
        <v>86.023252670426302</v>
      </c>
      <c r="D28" s="24">
        <v>78.6666666666667</v>
      </c>
      <c r="E28" s="24">
        <v>89.5</v>
      </c>
      <c r="F28" s="24">
        <v>1</v>
      </c>
      <c r="G28" s="17">
        <v>85.554650534085297</v>
      </c>
      <c r="H28" s="18" t="s">
        <v>96</v>
      </c>
    </row>
    <row r="29" spans="1:8" ht="18">
      <c r="A29" s="11" t="s">
        <v>383</v>
      </c>
      <c r="B29" s="21" t="s">
        <v>421</v>
      </c>
      <c r="C29" s="24">
        <v>82.462112512353201</v>
      </c>
      <c r="D29" s="24">
        <v>84.3333333333333</v>
      </c>
      <c r="E29" s="24">
        <v>79</v>
      </c>
      <c r="F29" s="24">
        <v>1</v>
      </c>
      <c r="G29" s="17">
        <v>81.2924225024706</v>
      </c>
      <c r="H29" s="18" t="s">
        <v>105</v>
      </c>
    </row>
    <row r="30" spans="1:8" ht="18">
      <c r="A30" s="11" t="s">
        <v>384</v>
      </c>
      <c r="B30" s="21" t="s">
        <v>422</v>
      </c>
      <c r="C30" s="24">
        <v>81.240384046359594</v>
      </c>
      <c r="D30" s="24">
        <v>78.6666666666667</v>
      </c>
      <c r="E30" s="24">
        <v>74</v>
      </c>
      <c r="F30" s="24">
        <v>0.95918367346938804</v>
      </c>
      <c r="G30" s="17">
        <v>75.337872727639294</v>
      </c>
      <c r="H30" s="18" t="s">
        <v>117</v>
      </c>
    </row>
    <row r="31" spans="1:8" ht="18">
      <c r="A31" s="11" t="s">
        <v>385</v>
      </c>
      <c r="B31" s="21" t="s">
        <v>423</v>
      </c>
      <c r="C31" s="24">
        <v>84.852813742385706</v>
      </c>
      <c r="D31" s="24">
        <v>85.3333333333333</v>
      </c>
      <c r="E31" s="24">
        <v>90</v>
      </c>
      <c r="F31" s="24">
        <v>1</v>
      </c>
      <c r="G31" s="17">
        <v>87.570562748477101</v>
      </c>
      <c r="H31" s="18" t="s">
        <v>90</v>
      </c>
    </row>
    <row r="32" spans="1:8" ht="18">
      <c r="A32" s="11" t="s">
        <v>386</v>
      </c>
      <c r="B32" s="21" t="s">
        <v>424</v>
      </c>
      <c r="C32" s="24">
        <v>78.740078740118093</v>
      </c>
      <c r="D32" s="24">
        <v>79</v>
      </c>
      <c r="E32" s="24">
        <v>87</v>
      </c>
      <c r="F32" s="24">
        <v>0.94285714285714295</v>
      </c>
      <c r="G32" s="17">
        <v>80.462301462309298</v>
      </c>
      <c r="H32" s="18" t="s">
        <v>107</v>
      </c>
    </row>
    <row r="33" spans="1:8" ht="18">
      <c r="A33" s="11" t="s">
        <v>387</v>
      </c>
      <c r="B33" s="21" t="s">
        <v>425</v>
      </c>
      <c r="C33" s="24">
        <v>81.240384046359594</v>
      </c>
      <c r="D33" s="24">
        <v>73.6666666666667</v>
      </c>
      <c r="E33" s="24">
        <v>62</v>
      </c>
      <c r="F33" s="24">
        <v>1</v>
      </c>
      <c r="G33" s="17">
        <v>69.348076809271902</v>
      </c>
      <c r="H33" s="18" t="s">
        <v>124</v>
      </c>
    </row>
    <row r="34" spans="1:8" ht="18">
      <c r="A34" s="11" t="s">
        <v>388</v>
      </c>
      <c r="B34" s="21" t="s">
        <v>426</v>
      </c>
      <c r="C34" s="24">
        <v>80</v>
      </c>
      <c r="D34" s="24">
        <v>75.6666666666667</v>
      </c>
      <c r="E34" s="24">
        <v>86</v>
      </c>
      <c r="F34" s="24">
        <v>0.93061224489795902</v>
      </c>
      <c r="G34" s="17">
        <v>78.716326530612207</v>
      </c>
      <c r="H34" s="18" t="s">
        <v>111</v>
      </c>
    </row>
    <row r="35" spans="1:8" ht="18">
      <c r="A35" s="11" t="s">
        <v>389</v>
      </c>
      <c r="B35" s="21" t="s">
        <v>427</v>
      </c>
      <c r="C35" s="24">
        <v>72.111025509279798</v>
      </c>
      <c r="D35" s="24">
        <v>80.6666666666667</v>
      </c>
      <c r="E35" s="24">
        <v>88</v>
      </c>
      <c r="F35" s="24">
        <v>1</v>
      </c>
      <c r="G35" s="17">
        <v>82.622205101855997</v>
      </c>
      <c r="H35" s="18" t="s">
        <v>104</v>
      </c>
    </row>
    <row r="36" spans="1:8" ht="18">
      <c r="A36" s="11" t="s">
        <v>390</v>
      </c>
      <c r="B36" s="21" t="s">
        <v>428</v>
      </c>
      <c r="C36" s="24">
        <v>78.740078740118093</v>
      </c>
      <c r="D36" s="24">
        <v>86</v>
      </c>
      <c r="E36" s="24">
        <v>75</v>
      </c>
      <c r="F36" s="24">
        <v>1</v>
      </c>
      <c r="G36" s="17">
        <v>79.048015748023602</v>
      </c>
      <c r="H36" s="18" t="s">
        <v>110</v>
      </c>
    </row>
    <row r="37" spans="1:8" ht="18">
      <c r="A37" s="11" t="s">
        <v>391</v>
      </c>
      <c r="B37" s="21" t="s">
        <v>429</v>
      </c>
      <c r="C37" s="24">
        <v>78.740078740118093</v>
      </c>
      <c r="D37" s="24">
        <v>81.6666666666667</v>
      </c>
      <c r="E37" s="24">
        <v>85</v>
      </c>
      <c r="F37" s="24">
        <v>1</v>
      </c>
      <c r="G37" s="17">
        <v>82.748015748023604</v>
      </c>
      <c r="H37" s="18" t="s">
        <v>103</v>
      </c>
    </row>
    <row r="38" spans="1:8" ht="18">
      <c r="A38" s="11" t="s">
        <v>392</v>
      </c>
      <c r="B38" s="21" t="s">
        <v>430</v>
      </c>
      <c r="C38" s="24">
        <v>82.462112512353201</v>
      </c>
      <c r="D38" s="24">
        <v>84</v>
      </c>
      <c r="E38" s="24">
        <v>88</v>
      </c>
      <c r="F38" s="24">
        <v>1</v>
      </c>
      <c r="G38" s="17">
        <v>85.692422502470606</v>
      </c>
      <c r="H38" s="18" t="s">
        <v>95</v>
      </c>
    </row>
    <row r="39" spans="1:8" ht="18">
      <c r="A39" s="14" t="s">
        <v>393</v>
      </c>
      <c r="B39" s="22" t="s">
        <v>431</v>
      </c>
      <c r="C39" s="25">
        <v>78.740078740118093</v>
      </c>
      <c r="D39" s="25"/>
      <c r="E39" s="25"/>
      <c r="F39" s="25">
        <v>1</v>
      </c>
      <c r="G39" s="19">
        <v>86.932000000000002</v>
      </c>
      <c r="H39" s="18" t="s">
        <v>92</v>
      </c>
    </row>
    <row r="40" spans="1:8" ht="18">
      <c r="A40" s="11" t="s">
        <v>394</v>
      </c>
      <c r="B40" s="21" t="s">
        <v>432</v>
      </c>
      <c r="C40" s="24">
        <v>80</v>
      </c>
      <c r="D40" s="24">
        <v>80</v>
      </c>
      <c r="E40" s="24">
        <v>75</v>
      </c>
      <c r="F40" s="24">
        <v>0.97551020408163303</v>
      </c>
      <c r="G40" s="17">
        <v>76.581632653061206</v>
      </c>
      <c r="H40" s="18" t="s">
        <v>115</v>
      </c>
    </row>
  </sheetData>
  <sortState xmlns:xlrd2="http://schemas.microsoft.com/office/spreadsheetml/2017/richdata2" ref="A3:H41">
    <sortCondition ref="A2:A41"/>
  </sortState>
  <mergeCells count="1">
    <mergeCell ref="A1:H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12259-DBA3-7440-8979-E713CC49270D}">
  <dimension ref="A1:H40"/>
  <sheetViews>
    <sheetView tabSelected="1" zoomScale="75" workbookViewId="0">
      <selection activeCell="H4" sqref="H4"/>
    </sheetView>
  </sheetViews>
  <sheetFormatPr baseColWidth="10" defaultRowHeight="16"/>
  <cols>
    <col min="1" max="8" width="20.83203125" customWidth="1"/>
  </cols>
  <sheetData>
    <row r="1" spans="1:8" ht="24" customHeight="1">
      <c r="A1" s="49" t="s">
        <v>433</v>
      </c>
      <c r="B1" s="50"/>
      <c r="C1" s="50"/>
      <c r="D1" s="50"/>
      <c r="E1" s="50"/>
      <c r="F1" s="50"/>
      <c r="G1" s="50"/>
      <c r="H1" s="51"/>
    </row>
    <row r="2" spans="1:8" ht="24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2" t="s">
        <v>6</v>
      </c>
      <c r="H2" s="8" t="s">
        <v>7</v>
      </c>
    </row>
    <row r="3" spans="1:8" ht="18">
      <c r="A3" s="11" t="s">
        <v>434</v>
      </c>
      <c r="B3" s="21" t="s">
        <v>472</v>
      </c>
      <c r="C3" s="24">
        <v>79.372539331937716</v>
      </c>
      <c r="D3" s="28">
        <v>80.3333333333333</v>
      </c>
      <c r="E3" s="29" t="s">
        <v>510</v>
      </c>
      <c r="F3" s="24">
        <v>1</v>
      </c>
      <c r="G3" s="17">
        <v>84.97450786638754</v>
      </c>
      <c r="H3" s="18" t="s">
        <v>97</v>
      </c>
    </row>
    <row r="4" spans="1:8" ht="18">
      <c r="A4" s="11" t="s">
        <v>435</v>
      </c>
      <c r="B4" s="21" t="s">
        <v>473</v>
      </c>
      <c r="C4" s="24">
        <v>77.459666924148337</v>
      </c>
      <c r="D4" s="28">
        <v>76</v>
      </c>
      <c r="E4" s="29" t="s">
        <v>511</v>
      </c>
      <c r="F4" s="24">
        <v>1</v>
      </c>
      <c r="G4" s="17">
        <v>72.541933384829662</v>
      </c>
      <c r="H4" s="18" t="s">
        <v>123</v>
      </c>
    </row>
    <row r="5" spans="1:8" ht="18">
      <c r="A5" s="11" t="s">
        <v>436</v>
      </c>
      <c r="B5" s="21" t="s">
        <v>474</v>
      </c>
      <c r="C5" s="24">
        <v>79.372539331937716</v>
      </c>
      <c r="D5" s="28">
        <v>75.6666666666667</v>
      </c>
      <c r="E5" s="29" t="s">
        <v>512</v>
      </c>
      <c r="F5" s="24">
        <v>1</v>
      </c>
      <c r="G5" s="17">
        <v>74.574507866387563</v>
      </c>
      <c r="H5" s="18" t="s">
        <v>119</v>
      </c>
    </row>
    <row r="6" spans="1:8" ht="18">
      <c r="A6" s="11" t="s">
        <v>437</v>
      </c>
      <c r="B6" s="21" t="s">
        <v>475</v>
      </c>
      <c r="C6" s="24">
        <v>85.440037453175307</v>
      </c>
      <c r="D6" s="28">
        <v>82</v>
      </c>
      <c r="E6" s="29" t="s">
        <v>513</v>
      </c>
      <c r="F6" s="24">
        <v>1</v>
      </c>
      <c r="G6" s="17">
        <v>84.688007490635059</v>
      </c>
      <c r="H6" s="18" t="s">
        <v>99</v>
      </c>
    </row>
    <row r="7" spans="1:8" ht="18">
      <c r="A7" s="11" t="s">
        <v>438</v>
      </c>
      <c r="B7" s="21" t="s">
        <v>476</v>
      </c>
      <c r="C7" s="24">
        <v>85.440037453175307</v>
      </c>
      <c r="D7" s="28">
        <v>83.3333333333333</v>
      </c>
      <c r="E7" s="29" t="s">
        <v>514</v>
      </c>
      <c r="F7" s="24">
        <v>1</v>
      </c>
      <c r="G7" s="17">
        <v>81.08800749063505</v>
      </c>
      <c r="H7" s="18" t="s">
        <v>105</v>
      </c>
    </row>
    <row r="8" spans="1:8" ht="18">
      <c r="A8" s="11" t="s">
        <v>439</v>
      </c>
      <c r="B8" s="21" t="s">
        <v>477</v>
      </c>
      <c r="C8" s="24">
        <v>78.10249675906654</v>
      </c>
      <c r="D8" s="28">
        <v>89</v>
      </c>
      <c r="E8" s="29" t="s">
        <v>515</v>
      </c>
      <c r="F8" s="24">
        <v>1</v>
      </c>
      <c r="G8" s="17">
        <v>79.320499351813311</v>
      </c>
      <c r="H8" s="18" t="s">
        <v>107</v>
      </c>
    </row>
    <row r="9" spans="1:8" ht="18">
      <c r="A9" s="11" t="s">
        <v>440</v>
      </c>
      <c r="B9" s="21" t="s">
        <v>478</v>
      </c>
      <c r="C9" s="24">
        <v>75.498344352707505</v>
      </c>
      <c r="D9" s="28">
        <v>79</v>
      </c>
      <c r="E9" s="29" t="s">
        <v>516</v>
      </c>
      <c r="F9" s="24">
        <v>0.99590000000000001</v>
      </c>
      <c r="G9" s="17">
        <v>72.660268870541501</v>
      </c>
      <c r="H9" s="18" t="s">
        <v>122</v>
      </c>
    </row>
    <row r="10" spans="1:8" ht="18">
      <c r="A10" s="11" t="s">
        <v>441</v>
      </c>
      <c r="B10" s="21" t="s">
        <v>479</v>
      </c>
      <c r="C10" s="24">
        <v>78.10249675906654</v>
      </c>
      <c r="D10" s="28">
        <v>81.6666666666667</v>
      </c>
      <c r="E10" s="29" t="s">
        <v>515</v>
      </c>
      <c r="F10" s="24">
        <v>1</v>
      </c>
      <c r="G10" s="17">
        <v>77.120499351813322</v>
      </c>
      <c r="H10" s="18" t="s">
        <v>114</v>
      </c>
    </row>
    <row r="11" spans="1:8" ht="18">
      <c r="A11" s="11" t="s">
        <v>442</v>
      </c>
      <c r="B11" s="21" t="s">
        <v>480</v>
      </c>
      <c r="C11" s="24">
        <v>82.462112512353215</v>
      </c>
      <c r="D11" s="28">
        <v>83.3333333333333</v>
      </c>
      <c r="E11" s="29" t="s">
        <v>517</v>
      </c>
      <c r="F11" s="24">
        <v>1</v>
      </c>
      <c r="G11" s="17">
        <v>83.492422502470632</v>
      </c>
      <c r="H11" s="18" t="s">
        <v>103</v>
      </c>
    </row>
    <row r="12" spans="1:8" ht="18">
      <c r="A12" s="11" t="s">
        <v>443</v>
      </c>
      <c r="B12" s="21" t="s">
        <v>481</v>
      </c>
      <c r="C12" s="24">
        <v>81.853527718724507</v>
      </c>
      <c r="D12" s="28">
        <v>82</v>
      </c>
      <c r="E12" s="29" t="s">
        <v>510</v>
      </c>
      <c r="F12" s="24">
        <v>1</v>
      </c>
      <c r="G12" s="17">
        <v>85.970705543744899</v>
      </c>
      <c r="H12" s="18" t="s">
        <v>91</v>
      </c>
    </row>
    <row r="13" spans="1:8" ht="18">
      <c r="A13" s="11" t="s">
        <v>444</v>
      </c>
      <c r="B13" s="21" t="s">
        <v>482</v>
      </c>
      <c r="C13" s="24">
        <v>74.16198487095663</v>
      </c>
      <c r="D13" s="28">
        <v>77.6666666666667</v>
      </c>
      <c r="E13" s="29" t="s">
        <v>518</v>
      </c>
      <c r="F13" s="24">
        <v>0.94289999999999996</v>
      </c>
      <c r="G13" s="17">
        <v>77.26274697419133</v>
      </c>
      <c r="H13" s="18" t="s">
        <v>113</v>
      </c>
    </row>
    <row r="14" spans="1:8" ht="18">
      <c r="A14" s="11" t="s">
        <v>445</v>
      </c>
      <c r="B14" s="21" t="s">
        <v>483</v>
      </c>
      <c r="C14" s="24">
        <v>85.440037453175307</v>
      </c>
      <c r="D14" s="28">
        <v>80</v>
      </c>
      <c r="E14" s="29" t="s">
        <v>519</v>
      </c>
      <c r="F14" s="24">
        <v>1</v>
      </c>
      <c r="G14" s="17">
        <v>85.588007490635064</v>
      </c>
      <c r="H14" s="18" t="s">
        <v>94</v>
      </c>
    </row>
    <row r="15" spans="1:8" ht="18">
      <c r="A15" s="11" t="s">
        <v>446</v>
      </c>
      <c r="B15" s="21" t="s">
        <v>484</v>
      </c>
      <c r="C15" s="24">
        <v>77.459666924148337</v>
      </c>
      <c r="D15" s="28">
        <v>79.6666666666667</v>
      </c>
      <c r="E15" s="29" t="s">
        <v>520</v>
      </c>
      <c r="F15" s="24">
        <v>1</v>
      </c>
      <c r="G15" s="17">
        <v>77.39193338482967</v>
      </c>
      <c r="H15" s="18" t="s">
        <v>111</v>
      </c>
    </row>
    <row r="16" spans="1:8" ht="18">
      <c r="A16" s="11" t="s">
        <v>447</v>
      </c>
      <c r="B16" s="21" t="s">
        <v>485</v>
      </c>
      <c r="C16" s="24">
        <v>77.459666924148337</v>
      </c>
      <c r="D16" s="28">
        <v>79.6666666666667</v>
      </c>
      <c r="E16" s="29" t="s">
        <v>520</v>
      </c>
      <c r="F16" s="24">
        <v>1</v>
      </c>
      <c r="G16" s="17">
        <v>77.39193338482967</v>
      </c>
      <c r="H16" s="18" t="s">
        <v>112</v>
      </c>
    </row>
    <row r="17" spans="1:8" ht="18">
      <c r="A17" s="11" t="s">
        <v>448</v>
      </c>
      <c r="B17" s="21" t="s">
        <v>486</v>
      </c>
      <c r="C17" s="24">
        <v>78.10249675906654</v>
      </c>
      <c r="D17" s="28">
        <v>76.3333333333333</v>
      </c>
      <c r="E17" s="29" t="s">
        <v>521</v>
      </c>
      <c r="F17" s="24">
        <v>1</v>
      </c>
      <c r="G17" s="17">
        <v>74.270499351813299</v>
      </c>
      <c r="H17" s="18" t="s">
        <v>121</v>
      </c>
    </row>
    <row r="18" spans="1:8" ht="18">
      <c r="A18" s="11" t="s">
        <v>449</v>
      </c>
      <c r="B18" s="21" t="s">
        <v>487</v>
      </c>
      <c r="C18" s="24">
        <v>83.066238629180745</v>
      </c>
      <c r="D18" s="28">
        <v>84.6666666666667</v>
      </c>
      <c r="E18" s="29" t="s">
        <v>519</v>
      </c>
      <c r="F18" s="24">
        <v>1</v>
      </c>
      <c r="G18" s="17">
        <v>86.513247725836152</v>
      </c>
      <c r="H18" s="18" t="s">
        <v>89</v>
      </c>
    </row>
    <row r="19" spans="1:8" ht="18">
      <c r="A19" s="11" t="s">
        <v>450</v>
      </c>
      <c r="B19" s="21" t="s">
        <v>488</v>
      </c>
      <c r="C19" s="24">
        <v>85.440037453175307</v>
      </c>
      <c r="D19" s="28">
        <v>77.3333333333333</v>
      </c>
      <c r="E19" s="29" t="s">
        <v>522</v>
      </c>
      <c r="F19" s="24">
        <v>1</v>
      </c>
      <c r="G19" s="17">
        <v>78.538007490635053</v>
      </c>
      <c r="H19" s="18" t="s">
        <v>109</v>
      </c>
    </row>
    <row r="20" spans="1:8" ht="18">
      <c r="A20" s="11" t="s">
        <v>451</v>
      </c>
      <c r="B20" s="21" t="s">
        <v>489</v>
      </c>
      <c r="C20" s="24">
        <v>84.261497731763598</v>
      </c>
      <c r="D20" s="28">
        <v>89</v>
      </c>
      <c r="E20" s="29" t="s">
        <v>523</v>
      </c>
      <c r="F20" s="24">
        <v>1</v>
      </c>
      <c r="G20" s="17">
        <v>83.052299546352728</v>
      </c>
      <c r="H20" s="18" t="s">
        <v>104</v>
      </c>
    </row>
    <row r="21" spans="1:8" ht="18">
      <c r="A21" s="11" t="s">
        <v>452</v>
      </c>
      <c r="B21" s="21" t="s">
        <v>490</v>
      </c>
      <c r="C21" s="24">
        <v>80</v>
      </c>
      <c r="D21" s="28">
        <v>80</v>
      </c>
      <c r="E21" s="29" t="s">
        <v>524</v>
      </c>
      <c r="F21" s="24">
        <v>1</v>
      </c>
      <c r="G21" s="17">
        <v>78.5</v>
      </c>
      <c r="H21" s="18" t="s">
        <v>110</v>
      </c>
    </row>
    <row r="22" spans="1:8" ht="18">
      <c r="A22" s="11" t="s">
        <v>453</v>
      </c>
      <c r="B22" s="21" t="s">
        <v>491</v>
      </c>
      <c r="C22" s="24">
        <v>77.459666924148337</v>
      </c>
      <c r="D22" s="28">
        <v>85</v>
      </c>
      <c r="E22" s="29" t="s">
        <v>525</v>
      </c>
      <c r="F22" s="24">
        <v>1</v>
      </c>
      <c r="G22" s="17">
        <v>84.491933384829665</v>
      </c>
      <c r="H22" s="18" t="s">
        <v>102</v>
      </c>
    </row>
    <row r="23" spans="1:8" ht="18">
      <c r="A23" s="11" t="s">
        <v>454</v>
      </c>
      <c r="B23" s="21" t="s">
        <v>492</v>
      </c>
      <c r="C23" s="24">
        <v>74.16198487095663</v>
      </c>
      <c r="D23" s="28">
        <v>91</v>
      </c>
      <c r="E23" s="29" t="s">
        <v>513</v>
      </c>
      <c r="F23" s="24">
        <v>1</v>
      </c>
      <c r="G23" s="17">
        <v>85.132396974191323</v>
      </c>
      <c r="H23" s="18" t="s">
        <v>95</v>
      </c>
    </row>
    <row r="24" spans="1:8" ht="18">
      <c r="A24" s="11" t="s">
        <v>455</v>
      </c>
      <c r="B24" s="21" t="s">
        <v>493</v>
      </c>
      <c r="C24" s="24">
        <v>86.602540378443877</v>
      </c>
      <c r="D24" s="28">
        <v>89.6666666666667</v>
      </c>
      <c r="E24" s="29" t="s">
        <v>517</v>
      </c>
      <c r="F24" s="24">
        <v>1</v>
      </c>
      <c r="G24" s="17">
        <v>86.220508075688784</v>
      </c>
      <c r="H24" s="18" t="s">
        <v>90</v>
      </c>
    </row>
    <row r="25" spans="1:8" ht="18">
      <c r="A25" s="11" t="s">
        <v>456</v>
      </c>
      <c r="B25" s="21" t="s">
        <v>494</v>
      </c>
      <c r="C25" s="24">
        <v>77.459666924148337</v>
      </c>
      <c r="D25" s="28">
        <v>84</v>
      </c>
      <c r="E25" s="29" t="s">
        <v>526</v>
      </c>
      <c r="F25" s="24">
        <v>1</v>
      </c>
      <c r="G25" s="17">
        <v>76.191933384829667</v>
      </c>
      <c r="H25" s="18" t="s">
        <v>117</v>
      </c>
    </row>
    <row r="26" spans="1:8" ht="18">
      <c r="A26" s="11" t="s">
        <v>457</v>
      </c>
      <c r="B26" s="21" t="s">
        <v>495</v>
      </c>
      <c r="C26" s="24">
        <v>77.459666924148337</v>
      </c>
      <c r="D26" s="28">
        <v>89</v>
      </c>
      <c r="E26" s="29" t="s">
        <v>525</v>
      </c>
      <c r="F26" s="24">
        <v>1</v>
      </c>
      <c r="G26" s="17">
        <v>85.691933384829667</v>
      </c>
      <c r="H26" s="18" t="s">
        <v>93</v>
      </c>
    </row>
    <row r="27" spans="1:8" ht="18">
      <c r="A27" s="11" t="s">
        <v>458</v>
      </c>
      <c r="B27" s="21" t="s">
        <v>496</v>
      </c>
      <c r="C27" s="24">
        <v>77.459666924148337</v>
      </c>
      <c r="D27" s="28">
        <v>91</v>
      </c>
      <c r="E27" s="29" t="s">
        <v>527</v>
      </c>
      <c r="F27" s="24">
        <v>1</v>
      </c>
      <c r="G27" s="17">
        <v>89.291933384829662</v>
      </c>
      <c r="H27" s="18" t="s">
        <v>87</v>
      </c>
    </row>
    <row r="28" spans="1:8" ht="18">
      <c r="A28" s="11" t="s">
        <v>459</v>
      </c>
      <c r="B28" s="21" t="s">
        <v>497</v>
      </c>
      <c r="C28" s="24">
        <v>79.372539331937716</v>
      </c>
      <c r="D28" s="28">
        <v>81.3333333333333</v>
      </c>
      <c r="E28" s="29" t="s">
        <v>528</v>
      </c>
      <c r="F28" s="24">
        <v>0.98780000000000001</v>
      </c>
      <c r="G28" s="17">
        <v>85.713307866387538</v>
      </c>
      <c r="H28" s="18" t="s">
        <v>92</v>
      </c>
    </row>
    <row r="29" spans="1:8" ht="18">
      <c r="A29" s="11" t="s">
        <v>460</v>
      </c>
      <c r="B29" s="21" t="s">
        <v>498</v>
      </c>
      <c r="C29" s="24">
        <v>78.10249675906654</v>
      </c>
      <c r="D29" s="28">
        <v>72.6666666666667</v>
      </c>
      <c r="E29" s="29" t="s">
        <v>515</v>
      </c>
      <c r="F29" s="24">
        <v>1</v>
      </c>
      <c r="G29" s="17">
        <v>74.420499351813319</v>
      </c>
      <c r="H29" s="18" t="s">
        <v>120</v>
      </c>
    </row>
    <row r="30" spans="1:8" ht="18">
      <c r="A30" s="11" t="s">
        <v>461</v>
      </c>
      <c r="B30" s="21" t="s">
        <v>499</v>
      </c>
      <c r="C30" s="24">
        <v>74.16198487095663</v>
      </c>
      <c r="D30" s="28">
        <v>80.6666666666667</v>
      </c>
      <c r="E30" s="29" t="s">
        <v>513</v>
      </c>
      <c r="F30" s="24">
        <v>0.97140000000000004</v>
      </c>
      <c r="G30" s="17">
        <v>80.802596974191346</v>
      </c>
      <c r="H30" s="18" t="s">
        <v>106</v>
      </c>
    </row>
    <row r="31" spans="1:8" ht="18">
      <c r="A31" s="11" t="s">
        <v>462</v>
      </c>
      <c r="B31" s="21" t="s">
        <v>500</v>
      </c>
      <c r="C31" s="24">
        <v>75.498344352707505</v>
      </c>
      <c r="D31" s="28">
        <v>76.6666666666667</v>
      </c>
      <c r="E31" s="29" t="s">
        <v>529</v>
      </c>
      <c r="F31" s="24">
        <v>0.85709999999999997</v>
      </c>
      <c r="G31" s="17">
        <v>61.455643870541508</v>
      </c>
      <c r="H31" s="18" t="s">
        <v>124</v>
      </c>
    </row>
    <row r="32" spans="1:8" ht="18">
      <c r="A32" s="11" t="s">
        <v>463</v>
      </c>
      <c r="B32" s="21" t="s">
        <v>501</v>
      </c>
      <c r="C32" s="24">
        <v>80.622577482985491</v>
      </c>
      <c r="D32" s="28">
        <v>81</v>
      </c>
      <c r="E32" s="29" t="s">
        <v>530</v>
      </c>
      <c r="F32" s="24">
        <v>0.99590000000000001</v>
      </c>
      <c r="G32" s="17">
        <v>76.774865496597101</v>
      </c>
      <c r="H32" s="18" t="s">
        <v>116</v>
      </c>
    </row>
    <row r="33" spans="1:8" ht="18">
      <c r="A33" s="11" t="s">
        <v>464</v>
      </c>
      <c r="B33" s="21" t="s">
        <v>502</v>
      </c>
      <c r="C33" s="24">
        <v>77.459666924148337</v>
      </c>
      <c r="D33" s="28">
        <v>87</v>
      </c>
      <c r="E33" s="29" t="s">
        <v>513</v>
      </c>
      <c r="F33" s="24">
        <v>1</v>
      </c>
      <c r="G33" s="17">
        <v>84.591933384829659</v>
      </c>
      <c r="H33" s="18" t="s">
        <v>100</v>
      </c>
    </row>
    <row r="34" spans="1:8" ht="18">
      <c r="A34" s="11" t="s">
        <v>465</v>
      </c>
      <c r="B34" s="21" t="s">
        <v>503</v>
      </c>
      <c r="C34" s="24">
        <v>79.372539331937716</v>
      </c>
      <c r="D34" s="28">
        <v>82.3333333333333</v>
      </c>
      <c r="E34" s="29" t="s">
        <v>531</v>
      </c>
      <c r="F34" s="24">
        <v>1</v>
      </c>
      <c r="G34" s="17">
        <v>84.574507866387535</v>
      </c>
      <c r="H34" s="18" t="s">
        <v>101</v>
      </c>
    </row>
    <row r="35" spans="1:8" ht="18">
      <c r="A35" s="11" t="s">
        <v>466</v>
      </c>
      <c r="B35" s="21" t="s">
        <v>504</v>
      </c>
      <c r="C35" s="24">
        <v>79.372539331937716</v>
      </c>
      <c r="D35" s="28">
        <v>82</v>
      </c>
      <c r="E35" s="29" t="s">
        <v>530</v>
      </c>
      <c r="F35" s="24">
        <v>1</v>
      </c>
      <c r="G35" s="17">
        <v>76.97450786638754</v>
      </c>
      <c r="H35" s="18" t="s">
        <v>115</v>
      </c>
    </row>
    <row r="36" spans="1:8" ht="18">
      <c r="A36" s="11" t="s">
        <v>467</v>
      </c>
      <c r="B36" s="21" t="s">
        <v>505</v>
      </c>
      <c r="C36" s="24">
        <v>80.622577482985491</v>
      </c>
      <c r="D36" s="28">
        <v>91</v>
      </c>
      <c r="E36" s="29" t="s">
        <v>518</v>
      </c>
      <c r="F36" s="24">
        <v>1</v>
      </c>
      <c r="G36" s="17">
        <v>84.924515496597095</v>
      </c>
      <c r="H36" s="18" t="s">
        <v>98</v>
      </c>
    </row>
    <row r="37" spans="1:8" ht="18">
      <c r="A37" s="11" t="s">
        <v>468</v>
      </c>
      <c r="B37" s="21" t="s">
        <v>506</v>
      </c>
      <c r="C37" s="24">
        <v>83.066238629180745</v>
      </c>
      <c r="D37" s="28">
        <v>74.3333333333333</v>
      </c>
      <c r="E37" s="29" t="s">
        <v>524</v>
      </c>
      <c r="F37" s="24">
        <v>0.94289999999999996</v>
      </c>
      <c r="G37" s="17">
        <v>75.214897725836124</v>
      </c>
      <c r="H37" s="18" t="s">
        <v>118</v>
      </c>
    </row>
    <row r="38" spans="1:8" ht="18">
      <c r="A38" s="11" t="s">
        <v>469</v>
      </c>
      <c r="B38" s="21" t="s">
        <v>507</v>
      </c>
      <c r="C38" s="24">
        <v>77.459666924148337</v>
      </c>
      <c r="D38" s="28">
        <v>89.3333333333333</v>
      </c>
      <c r="E38" s="29" t="s">
        <v>532</v>
      </c>
      <c r="F38" s="24">
        <v>1</v>
      </c>
      <c r="G38" s="17">
        <v>85.041933384829662</v>
      </c>
      <c r="H38" s="18" t="s">
        <v>96</v>
      </c>
    </row>
    <row r="39" spans="1:8" ht="18">
      <c r="A39" s="11" t="s">
        <v>470</v>
      </c>
      <c r="B39" s="21" t="s">
        <v>508</v>
      </c>
      <c r="C39" s="24">
        <v>83.066238629180745</v>
      </c>
      <c r="D39" s="28">
        <v>88.6666666666667</v>
      </c>
      <c r="E39" s="29" t="s">
        <v>531</v>
      </c>
      <c r="F39" s="24">
        <v>1</v>
      </c>
      <c r="G39" s="17">
        <v>87.213247725836155</v>
      </c>
      <c r="H39" s="18" t="s">
        <v>88</v>
      </c>
    </row>
    <row r="40" spans="1:8" ht="18">
      <c r="A40" s="11" t="s">
        <v>471</v>
      </c>
      <c r="B40" s="21" t="s">
        <v>509</v>
      </c>
      <c r="C40" s="24">
        <v>80.622577482985491</v>
      </c>
      <c r="D40" s="28">
        <v>85</v>
      </c>
      <c r="E40" s="30">
        <v>74</v>
      </c>
      <c r="F40" s="24">
        <v>1</v>
      </c>
      <c r="G40" s="17">
        <v>78.624515496597098</v>
      </c>
      <c r="H40" s="18" t="s">
        <v>108</v>
      </c>
    </row>
  </sheetData>
  <sortState xmlns:xlrd2="http://schemas.microsoft.com/office/spreadsheetml/2017/richdata2" ref="A3:H43">
    <sortCondition ref="A2:A43"/>
  </sortState>
  <mergeCells count="1">
    <mergeCell ref="A1:H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9645F-7488-BF42-A3B7-CE2BAC5798F6}">
  <dimension ref="A1:S12"/>
  <sheetViews>
    <sheetView topLeftCell="I1" zoomScale="95" workbookViewId="0">
      <selection activeCell="A7" sqref="A7:A12"/>
    </sheetView>
  </sheetViews>
  <sheetFormatPr baseColWidth="10" defaultRowHeight="16"/>
  <cols>
    <col min="1" max="19" width="20.83203125" customWidth="1"/>
  </cols>
  <sheetData>
    <row r="1" spans="1:19">
      <c r="A1" s="52" t="s">
        <v>536</v>
      </c>
      <c r="B1" s="52" t="s">
        <v>0</v>
      </c>
      <c r="C1" s="52" t="s">
        <v>537</v>
      </c>
      <c r="D1" s="52" t="s">
        <v>538</v>
      </c>
      <c r="E1" s="55" t="s">
        <v>539</v>
      </c>
      <c r="F1" s="52" t="s">
        <v>540</v>
      </c>
      <c r="G1" s="55" t="s">
        <v>541</v>
      </c>
      <c r="H1" s="61" t="s">
        <v>542</v>
      </c>
      <c r="I1" s="61" t="s">
        <v>5</v>
      </c>
      <c r="J1" s="64"/>
      <c r="K1" s="61" t="s">
        <v>543</v>
      </c>
      <c r="L1" s="64"/>
      <c r="M1" s="64" t="s">
        <v>544</v>
      </c>
      <c r="N1" s="67" t="s">
        <v>545</v>
      </c>
      <c r="O1" s="67"/>
      <c r="P1" s="67"/>
      <c r="Q1" s="56" t="s">
        <v>546</v>
      </c>
      <c r="R1" s="59" t="s">
        <v>6</v>
      </c>
      <c r="S1" s="55" t="s">
        <v>547</v>
      </c>
    </row>
    <row r="2" spans="1:19">
      <c r="A2" s="53"/>
      <c r="B2" s="53"/>
      <c r="C2" s="53"/>
      <c r="D2" s="53"/>
      <c r="E2" s="55"/>
      <c r="F2" s="53"/>
      <c r="G2" s="55"/>
      <c r="H2" s="62"/>
      <c r="I2" s="62"/>
      <c r="J2" s="65"/>
      <c r="K2" s="62"/>
      <c r="L2" s="65"/>
      <c r="M2" s="65"/>
      <c r="N2" s="67"/>
      <c r="O2" s="67"/>
      <c r="P2" s="67"/>
      <c r="Q2" s="57"/>
      <c r="R2" s="59"/>
      <c r="S2" s="55"/>
    </row>
    <row r="3" spans="1:19">
      <c r="A3" s="54"/>
      <c r="B3" s="54"/>
      <c r="C3" s="54"/>
      <c r="D3" s="54"/>
      <c r="E3" s="55"/>
      <c r="F3" s="54"/>
      <c r="G3" s="55"/>
      <c r="H3" s="63"/>
      <c r="I3" s="63"/>
      <c r="J3" s="66"/>
      <c r="K3" s="63"/>
      <c r="L3" s="66"/>
      <c r="M3" s="66"/>
      <c r="N3" s="67"/>
      <c r="O3" s="67"/>
      <c r="P3" s="67"/>
      <c r="Q3" s="58"/>
      <c r="R3" s="59"/>
      <c r="S3" s="55"/>
    </row>
    <row r="4" spans="1:19" ht="60">
      <c r="A4" s="46" t="s">
        <v>548</v>
      </c>
      <c r="B4" s="46"/>
      <c r="C4" s="46" t="s">
        <v>549</v>
      </c>
      <c r="D4" s="46" t="s">
        <v>85</v>
      </c>
      <c r="E4" s="47"/>
      <c r="F4" s="31">
        <v>90</v>
      </c>
      <c r="G4" s="37" t="s">
        <v>550</v>
      </c>
      <c r="H4" s="36"/>
      <c r="I4" s="36" t="s">
        <v>551</v>
      </c>
      <c r="J4" s="31" t="s">
        <v>552</v>
      </c>
      <c r="K4" s="36" t="s">
        <v>553</v>
      </c>
      <c r="L4" s="31" t="s">
        <v>554</v>
      </c>
      <c r="M4" s="31"/>
      <c r="N4" s="31" t="s">
        <v>555</v>
      </c>
      <c r="O4" s="31" t="s">
        <v>556</v>
      </c>
      <c r="P4" s="48" t="s">
        <v>557</v>
      </c>
      <c r="Q4" s="48" t="s">
        <v>558</v>
      </c>
      <c r="R4" s="60"/>
      <c r="S4" s="55"/>
    </row>
    <row r="5" spans="1:19">
      <c r="A5" s="31">
        <v>1</v>
      </c>
      <c r="B5" s="32" t="s">
        <v>43</v>
      </c>
      <c r="C5" s="33" t="s">
        <v>82</v>
      </c>
      <c r="D5" s="34" t="s">
        <v>85</v>
      </c>
      <c r="E5" s="33" t="s">
        <v>533</v>
      </c>
      <c r="F5" s="35">
        <v>90</v>
      </c>
      <c r="G5" s="33">
        <v>84.8</v>
      </c>
      <c r="H5" s="36">
        <f t="shared" ref="H5" si="0">G5*0.2</f>
        <v>16.96</v>
      </c>
      <c r="I5" s="34">
        <v>0</v>
      </c>
      <c r="J5" s="23">
        <f t="shared" ref="J5" si="1">(279-I5)/279</f>
        <v>1</v>
      </c>
      <c r="K5" s="36">
        <v>87.5</v>
      </c>
      <c r="L5" s="36">
        <v>88.33</v>
      </c>
      <c r="M5" s="36">
        <f t="shared" ref="M5" si="2">(K5*0.3+L5*0.7)*J5*0.5</f>
        <v>44.040499999999994</v>
      </c>
      <c r="N5" s="33">
        <v>77.7</v>
      </c>
      <c r="O5" s="36">
        <v>81.02</v>
      </c>
      <c r="P5" s="36">
        <v>90</v>
      </c>
      <c r="Q5" s="36">
        <f t="shared" ref="Q5" si="3">(N5*0.25+O5*0.25+P5*0.5)*0.3</f>
        <v>25.404</v>
      </c>
      <c r="R5" s="4">
        <f t="shared" ref="R5" si="4">H5+M5+Q5</f>
        <v>86.404499999999999</v>
      </c>
      <c r="S5" s="37"/>
    </row>
    <row r="6" spans="1:19" s="44" customFormat="1">
      <c r="A6" s="38">
        <v>2</v>
      </c>
      <c r="B6" s="39" t="s">
        <v>15</v>
      </c>
      <c r="C6" s="40" t="s">
        <v>54</v>
      </c>
      <c r="D6" s="41" t="s">
        <v>85</v>
      </c>
      <c r="E6" s="40" t="s">
        <v>533</v>
      </c>
      <c r="F6" s="42">
        <v>90</v>
      </c>
      <c r="G6" s="40">
        <v>77.400000000000006</v>
      </c>
      <c r="H6" s="3">
        <f t="shared" ref="H6:H12" si="5">G6*0.2</f>
        <v>15.480000000000002</v>
      </c>
      <c r="I6" s="3">
        <v>178</v>
      </c>
      <c r="J6" s="6">
        <f t="shared" ref="J6:J12" si="6">(279-I6)/279</f>
        <v>0.36200716845878134</v>
      </c>
      <c r="K6" s="3">
        <v>93</v>
      </c>
      <c r="L6" s="3">
        <v>65</v>
      </c>
      <c r="M6" s="3">
        <f t="shared" ref="M6:M12" si="7">(K6*0.3+L6*0.7)*J6*0.5</f>
        <v>13.285663082437276</v>
      </c>
      <c r="N6" s="40">
        <v>70.599999999999994</v>
      </c>
      <c r="O6" s="3">
        <v>70</v>
      </c>
      <c r="P6" s="3">
        <v>65</v>
      </c>
      <c r="Q6" s="3">
        <f t="shared" ref="Q6:Q12" si="8">(N6*0.25+O6*0.25+P6*0.5)*0.3</f>
        <v>20.295000000000002</v>
      </c>
      <c r="R6" s="5">
        <f t="shared" ref="R6:R12" si="9">H6+M6+Q6</f>
        <v>49.06066308243728</v>
      </c>
      <c r="S6" s="43"/>
    </row>
    <row r="7" spans="1:19">
      <c r="A7" s="31">
        <v>3</v>
      </c>
      <c r="B7" s="32" t="s">
        <v>335</v>
      </c>
      <c r="C7" s="33" t="s">
        <v>297</v>
      </c>
      <c r="D7" s="34" t="s">
        <v>85</v>
      </c>
      <c r="E7" s="33" t="s">
        <v>534</v>
      </c>
      <c r="F7" s="35">
        <v>90</v>
      </c>
      <c r="G7" s="33">
        <v>80</v>
      </c>
      <c r="H7" s="36">
        <f t="shared" si="5"/>
        <v>16</v>
      </c>
      <c r="I7" s="34">
        <v>0</v>
      </c>
      <c r="J7" s="23">
        <f t="shared" si="6"/>
        <v>1</v>
      </c>
      <c r="K7" s="36">
        <v>100</v>
      </c>
      <c r="L7" s="36">
        <v>85</v>
      </c>
      <c r="M7" s="36">
        <f t="shared" si="7"/>
        <v>44.75</v>
      </c>
      <c r="N7" s="33">
        <v>84.7</v>
      </c>
      <c r="O7" s="36">
        <v>82.45</v>
      </c>
      <c r="P7" s="36">
        <v>88</v>
      </c>
      <c r="Q7" s="36">
        <f t="shared" si="8"/>
        <v>25.736249999999998</v>
      </c>
      <c r="R7" s="4">
        <f t="shared" si="9"/>
        <v>86.486249999999998</v>
      </c>
      <c r="S7" s="37"/>
    </row>
    <row r="8" spans="1:19">
      <c r="A8" s="31">
        <v>4</v>
      </c>
      <c r="B8" s="32" t="s">
        <v>393</v>
      </c>
      <c r="C8" s="33" t="s">
        <v>431</v>
      </c>
      <c r="D8" s="34" t="s">
        <v>85</v>
      </c>
      <c r="E8" s="33" t="s">
        <v>535</v>
      </c>
      <c r="F8" s="35">
        <v>90</v>
      </c>
      <c r="G8" s="33">
        <v>79</v>
      </c>
      <c r="H8" s="36">
        <f t="shared" si="5"/>
        <v>15.8</v>
      </c>
      <c r="I8" s="34">
        <v>0</v>
      </c>
      <c r="J8" s="23">
        <f t="shared" si="6"/>
        <v>1</v>
      </c>
      <c r="K8" s="36">
        <v>98</v>
      </c>
      <c r="L8" s="36">
        <v>85</v>
      </c>
      <c r="M8" s="36">
        <f t="shared" si="7"/>
        <v>44.449999999999996</v>
      </c>
      <c r="N8" s="33">
        <v>85.3</v>
      </c>
      <c r="O8" s="36">
        <v>90.46</v>
      </c>
      <c r="P8" s="36">
        <v>90</v>
      </c>
      <c r="Q8" s="36">
        <f t="shared" si="8"/>
        <v>26.681999999999999</v>
      </c>
      <c r="R8" s="4">
        <f t="shared" si="9"/>
        <v>86.932000000000002</v>
      </c>
      <c r="S8" s="37"/>
    </row>
    <row r="9" spans="1:19">
      <c r="A9" s="31">
        <v>5</v>
      </c>
      <c r="B9" s="32" t="s">
        <v>362</v>
      </c>
      <c r="C9" s="33" t="s">
        <v>400</v>
      </c>
      <c r="D9" s="34" t="s">
        <v>85</v>
      </c>
      <c r="E9" s="33" t="s">
        <v>535</v>
      </c>
      <c r="F9" s="35">
        <v>90</v>
      </c>
      <c r="G9" s="33">
        <v>80</v>
      </c>
      <c r="H9" s="36">
        <f t="shared" si="5"/>
        <v>16</v>
      </c>
      <c r="I9" s="34">
        <v>0</v>
      </c>
      <c r="J9" s="23">
        <f t="shared" si="6"/>
        <v>1</v>
      </c>
      <c r="K9" s="36">
        <v>99</v>
      </c>
      <c r="L9" s="36">
        <v>87.33</v>
      </c>
      <c r="M9" s="36">
        <f t="shared" si="7"/>
        <v>45.415499999999994</v>
      </c>
      <c r="N9" s="33">
        <v>80</v>
      </c>
      <c r="O9" s="36">
        <v>92.92</v>
      </c>
      <c r="P9" s="36">
        <v>90</v>
      </c>
      <c r="Q9" s="36">
        <f t="shared" si="8"/>
        <v>26.469000000000001</v>
      </c>
      <c r="R9" s="4">
        <f t="shared" si="9"/>
        <v>87.884500000000003</v>
      </c>
      <c r="S9" s="37"/>
    </row>
    <row r="10" spans="1:19">
      <c r="A10" s="31">
        <v>6</v>
      </c>
      <c r="B10" s="32" t="s">
        <v>378</v>
      </c>
      <c r="C10" s="33" t="s">
        <v>416</v>
      </c>
      <c r="D10" s="34" t="s">
        <v>85</v>
      </c>
      <c r="E10" s="33" t="s">
        <v>535</v>
      </c>
      <c r="F10" s="35">
        <v>90</v>
      </c>
      <c r="G10" s="33">
        <v>86</v>
      </c>
      <c r="H10" s="36">
        <f t="shared" si="5"/>
        <v>17.2</v>
      </c>
      <c r="I10" s="34">
        <v>0</v>
      </c>
      <c r="J10" s="23">
        <f t="shared" si="6"/>
        <v>1</v>
      </c>
      <c r="K10" s="36">
        <v>95</v>
      </c>
      <c r="L10" s="36">
        <v>92</v>
      </c>
      <c r="M10" s="36">
        <f t="shared" si="7"/>
        <v>46.449999999999996</v>
      </c>
      <c r="N10" s="33">
        <v>73.3</v>
      </c>
      <c r="O10" s="36">
        <v>88.22</v>
      </c>
      <c r="P10" s="36">
        <v>90</v>
      </c>
      <c r="Q10" s="36">
        <f t="shared" si="8"/>
        <v>25.613999999999997</v>
      </c>
      <c r="R10" s="4">
        <f t="shared" si="9"/>
        <v>89.263999999999982</v>
      </c>
      <c r="S10" s="37"/>
    </row>
    <row r="11" spans="1:19">
      <c r="A11" s="31">
        <v>7</v>
      </c>
      <c r="B11" s="32" t="s">
        <v>366</v>
      </c>
      <c r="C11" s="33" t="s">
        <v>404</v>
      </c>
      <c r="D11" s="45" t="s">
        <v>85</v>
      </c>
      <c r="E11" s="33" t="s">
        <v>535</v>
      </c>
      <c r="F11" s="35">
        <v>90</v>
      </c>
      <c r="G11" s="33">
        <v>75</v>
      </c>
      <c r="H11" s="36">
        <f t="shared" si="5"/>
        <v>15</v>
      </c>
      <c r="I11" s="34">
        <v>3</v>
      </c>
      <c r="J11" s="23">
        <f t="shared" si="6"/>
        <v>0.989247311827957</v>
      </c>
      <c r="K11" s="36">
        <v>97.5</v>
      </c>
      <c r="L11" s="36">
        <v>90</v>
      </c>
      <c r="M11" s="36">
        <f t="shared" si="7"/>
        <v>45.62903225806452</v>
      </c>
      <c r="N11" s="33">
        <v>81.3</v>
      </c>
      <c r="O11" s="36">
        <v>88.11</v>
      </c>
      <c r="P11" s="36">
        <v>90</v>
      </c>
      <c r="Q11" s="36">
        <f t="shared" si="8"/>
        <v>26.205749999999998</v>
      </c>
      <c r="R11" s="4">
        <f t="shared" si="9"/>
        <v>86.834782258064521</v>
      </c>
      <c r="S11" s="37"/>
    </row>
    <row r="12" spans="1:19">
      <c r="A12" s="31">
        <v>8</v>
      </c>
      <c r="B12" s="32" t="s">
        <v>16</v>
      </c>
      <c r="C12" s="33" t="s">
        <v>55</v>
      </c>
      <c r="D12" s="45" t="s">
        <v>86</v>
      </c>
      <c r="E12" s="33" t="s">
        <v>533</v>
      </c>
      <c r="F12" s="35">
        <v>90</v>
      </c>
      <c r="G12" s="33">
        <v>81.2</v>
      </c>
      <c r="H12" s="36">
        <f t="shared" si="5"/>
        <v>16.240000000000002</v>
      </c>
      <c r="I12" s="34">
        <v>0</v>
      </c>
      <c r="J12" s="23">
        <f t="shared" si="6"/>
        <v>1</v>
      </c>
      <c r="K12" s="36">
        <v>93</v>
      </c>
      <c r="L12" s="36">
        <v>89</v>
      </c>
      <c r="M12" s="36">
        <f t="shared" si="7"/>
        <v>45.099999999999994</v>
      </c>
      <c r="N12" s="33">
        <v>75.3</v>
      </c>
      <c r="O12" s="36">
        <v>88.53</v>
      </c>
      <c r="P12" s="36">
        <v>90</v>
      </c>
      <c r="Q12" s="36">
        <f t="shared" si="8"/>
        <v>25.787249999999997</v>
      </c>
      <c r="R12" s="4">
        <f t="shared" si="9"/>
        <v>87.127249999999989</v>
      </c>
      <c r="S12" s="37"/>
    </row>
  </sheetData>
  <protectedRanges>
    <protectedRange sqref="A6:D6 B7:D12 A8 A10 A12" name="Range1"/>
    <protectedRange sqref="R6:R12" name="Range2"/>
    <protectedRange sqref="A1:D4" name="Range1_1"/>
    <protectedRange sqref="R1:R4" name="Range2_1"/>
    <protectedRange sqref="A5:D5 A7 A9 A11" name="Range1_2"/>
    <protectedRange sqref="R5" name="Range2_2"/>
  </protectedRanges>
  <mergeCells count="15">
    <mergeCell ref="Q1:Q3"/>
    <mergeCell ref="R1:R4"/>
    <mergeCell ref="S1:S4"/>
    <mergeCell ref="G1:G3"/>
    <mergeCell ref="H1:H3"/>
    <mergeCell ref="I1:J3"/>
    <mergeCell ref="K1:L3"/>
    <mergeCell ref="M1:M3"/>
    <mergeCell ref="N1:P3"/>
    <mergeCell ref="F1:F3"/>
    <mergeCell ref="A1:A3"/>
    <mergeCell ref="B1:B3"/>
    <mergeCell ref="C1:C3"/>
    <mergeCell ref="D1:D3"/>
    <mergeCell ref="E1:E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数据一区</vt:lpstr>
      <vt:lpstr>数据二区</vt:lpstr>
      <vt:lpstr>数据三区</vt:lpstr>
      <vt:lpstr>数据四区</vt:lpstr>
      <vt:lpstr>数据五区</vt:lpstr>
      <vt:lpstr>数据六区</vt:lpstr>
      <vt:lpstr>警乐团成绩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2025-10-01T14:05:15Z</dcterms:created>
  <dcterms:modified xsi:type="dcterms:W3CDTF">2025-10-05T06:15:53Z</dcterms:modified>
</cp:coreProperties>
</file>